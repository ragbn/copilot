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0e68d7e5d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ide" sheetId="1" r:id="Rca010c3aa4eb4abd"/>
    <x:sheet xmlns:r="http://schemas.openxmlformats.org/officeDocument/2006/relationships" name="01 Customer Master" sheetId="2" r:id="R9d5a1ebe85b84e98"/>
    <x:sheet xmlns:r="http://schemas.openxmlformats.org/officeDocument/2006/relationships" name="02 Pilot Assumptions" sheetId="3" r:id="R358766bd1faa41d0"/>
    <x:sheet xmlns:r="http://schemas.openxmlformats.org/officeDocument/2006/relationships" name="02 Weekly Projection" sheetId="4" r:id="Rda8b261f896d4fcf"/>
    <x:sheet xmlns:r="http://schemas.openxmlformats.org/officeDocument/2006/relationships" name="02 Sensitivity" sheetId="5" r:id="R51d5786d878f43ff"/>
    <x:sheet xmlns:r="http://schemas.openxmlformats.org/officeDocument/2006/relationships" name="03 Activity Log" sheetId="6" r:id="Re74d42eda75b49f1"/>
    <x:sheet xmlns:r="http://schemas.openxmlformats.org/officeDocument/2006/relationships" name="03 Support Tickets" sheetId="7" r:id="Rce802a6f75744cef"/>
    <x:sheet xmlns:r="http://schemas.openxmlformats.org/officeDocument/2006/relationships" name="04 CRM Roster" sheetId="8" r:id="Rec0bd8fa92d54954"/>
    <x:sheet xmlns:r="http://schemas.openxmlformats.org/officeDocument/2006/relationships" name="04 Platform Export" sheetId="9" r:id="Ra0901d5476e74b5c"/>
    <x:sheet xmlns:r="http://schemas.openxmlformats.org/officeDocument/2006/relationships" name="05 Monthly KPI" sheetId="10" r:id="R78794ccd47e1480b"/>
    <x:sheet xmlns:r="http://schemas.openxmlformats.org/officeDocument/2006/relationships" name="06 Exercise Scenario" sheetId="11" r:id="Rb615e6d1a90c4f10"/>
    <x:sheet xmlns:r="http://schemas.openxmlformats.org/officeDocument/2006/relationships" name="06 Exercise Plan vs Actual" sheetId="12" r:id="Rd63d968652f8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0%"/>
    <x:numFmt numFmtId="203" formatCode="0.0"/>
    <x:numFmt numFmtId="204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/>
    </x:border>
    <x:border>
      <x:top/>
    </x:border>
    <x:border>
      <x:right/>
      <x:top/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5" borderId="19" xfId="0" applyNumberFormat="1" applyFont="1" applyFill="1" applyBorder="1"/>
    <x:xf numFmtId="0" fontId="0" fillId="5" borderId="0" xfId="0" applyNumberFormat="1" applyFont="1" applyFill="1" applyBorder="1"/>
    <x:xf numFmtId="0" fontId="0" fillId="5" borderId="11" xfId="0" applyNumberFormat="1" applyFont="1" applyFill="1" applyBorder="1"/>
    <x:xf numFmtId="0" fontId="0" fillId="5" borderId="22" xfId="0" applyNumberFormat="1" applyFont="1" applyFill="1" applyBorder="1"/>
    <x:xf numFmtId="0" fontId="0" fillId="5" borderId="1" xfId="0" applyNumberFormat="1" applyFont="1" applyFill="1" applyBorder="1"/>
    <x:xf numFmtId="0" fontId="0" fillId="5" borderId="16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2" fontId="0" fillId="5" borderId="11" xfId="0" applyNumberFormat="1" applyFont="1" applyFill="1" applyBorder="1"/>
    <x:xf numFmtId="202" fontId="0" fillId="5" borderId="16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9" xfId="0" applyNumberFormat="1" applyFont="1" applyFill="1" applyBorder="1"/>
    <x:xf numFmtId="202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4" xfId="0" applyNumberFormat="1" applyFont="1" applyFill="1" applyBorder="1"/>
    <x:xf numFmtId="202" fontId="0" fillId="0" borderId="16" xfId="0" applyNumberFormat="1" applyFont="1" applyFill="1" applyBorder="1"/>
    <x:xf numFmtId="201" fontId="0" fillId="0" borderId="17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2" fontId="3" fillId="4" borderId="3" xfId="0" applyNumberFormat="1" applyFont="1" applyFill="1" applyBorder="1" applyAlignment="1">
      <x:alignment horizontal="center" vertical="center" wrapText="1"/>
    </x:xf>
    <x:xf numFmtId="202" fontId="3" fillId="4" borderId="4" xfId="0" applyNumberFormat="1" applyFont="1" applyFill="1" applyBorder="1" applyAlignment="1">
      <x:alignment horizontal="center" vertical="center" wrapText="1"/>
    </x:xf>
    <x:xf numFmtId="202" fontId="3" fillId="4" borderId="6" xfId="0" applyNumberFormat="1" applyFont="1" applyFill="1" applyBorder="1" applyAlignment="1">
      <x:alignment horizontal="center" vertical="center" wrapText="1"/>
    </x:xf>
    <x:xf numFmtId="202" fontId="3" fillId="4" borderId="7" xfId="0" applyNumberFormat="1" applyFont="1" applyFill="1" applyBorder="1" applyAlignment="1">
      <x:alignment horizontal="center" vertical="center" wrapText="1"/>
    </x:xf>
    <x:xf numFmtId="202" fontId="0" fillId="0" borderId="8" xfId="0" applyNumberFormat="1" applyFont="1" applyFill="1" applyBorder="1"/>
    <x:xf numFmtId="202" fontId="0" fillId="0" borderId="10" xfId="0" applyNumberFormat="1" applyFont="1" applyFill="1" applyBorder="1"/>
    <x:xf numFmtId="202" fontId="0" fillId="0" borderId="13" xfId="0" applyNumberFormat="1" applyFont="1" applyFill="1" applyBorder="1"/>
    <x:xf numFmtId="202" fontId="0" fillId="0" borderId="15" xfId="0" applyNumberFormat="1" applyFont="1" applyFill="1" applyBorder="1"/>
    <x:xf numFmtId="200" fontId="0" fillId="0" borderId="8" xfId="0" applyNumberFormat="1" applyFont="1" applyFill="1" applyBorder="1"/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9" xfId="0" applyNumberFormat="1" applyFont="1" applyFill="1" applyBorder="1"/>
    <x:xf numFmtId="204" fontId="0" fillId="0" borderId="9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3" fontId="0" fillId="0" borderId="14" xfId="0" applyNumberFormat="1" applyFont="1" applyFill="1" applyBorder="1"/>
    <x:xf numFmtId="204" fontId="0" fillId="0" borderId="14" xfId="0" applyNumberFormat="1" applyFont="1" applyFill="1" applyBorder="1"/>
    <x:xf numFmtId="203" fontId="0" fillId="0" borderId="16" xfId="0" applyNumberFormat="1" applyFont="1" applyFill="1" applyBorder="1"/>
    <x:xf numFmtId="203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d63a7b9d74171" /><Relationship Type="http://schemas.openxmlformats.org/officeDocument/2006/relationships/theme" Target="/xl/theme/theme1.xml" Id="R8a0bc51755884561" /><Relationship Type="http://schemas.openxmlformats.org/officeDocument/2006/relationships/sharedStrings" Target="/xl/sharedStrings.xml" Id="Ra6c3316632ca42b7" /><Relationship Type="http://schemas.openxmlformats.org/officeDocument/2006/relationships/worksheet" Target="/xl/worksheets/sheet1.xml" Id="Rca010c3aa4eb4abd" /><Relationship Type="http://schemas.openxmlformats.org/officeDocument/2006/relationships/worksheet" Target="/xl/worksheets/sheet2.xml" Id="R9d5a1ebe85b84e98" /><Relationship Type="http://schemas.openxmlformats.org/officeDocument/2006/relationships/worksheet" Target="/xl/worksheets/sheet3.xml" Id="R358766bd1faa41d0" /><Relationship Type="http://schemas.openxmlformats.org/officeDocument/2006/relationships/worksheet" Target="/xl/worksheets/sheet4.xml" Id="Rda8b261f896d4fcf" /><Relationship Type="http://schemas.openxmlformats.org/officeDocument/2006/relationships/worksheet" Target="/xl/worksheets/sheet5.xml" Id="R51d5786d878f43ff" /><Relationship Type="http://schemas.openxmlformats.org/officeDocument/2006/relationships/worksheet" Target="/xl/worksheets/sheet6.xml" Id="Re74d42eda75b49f1" /><Relationship Type="http://schemas.openxmlformats.org/officeDocument/2006/relationships/worksheet" Target="/xl/worksheets/sheet7.xml" Id="Rce802a6f75744cef" /><Relationship Type="http://schemas.openxmlformats.org/officeDocument/2006/relationships/worksheet" Target="/xl/worksheets/sheet8.xml" Id="Rec0bd8fa92d54954" /><Relationship Type="http://schemas.openxmlformats.org/officeDocument/2006/relationships/worksheet" Target="/xl/worksheets/sheet9.xml" Id="Ra0901d5476e74b5c" /><Relationship Type="http://schemas.openxmlformats.org/officeDocument/2006/relationships/worksheet" Target="/xl/worksheets/sheet10.xml" Id="R78794ccd47e1480b" /><Relationship Type="http://schemas.openxmlformats.org/officeDocument/2006/relationships/worksheet" Target="/xl/worksheets/sheet11.xml" Id="Rb615e6d1a90c4f10" /><Relationship Type="http://schemas.openxmlformats.org/officeDocument/2006/relationships/worksheet" Target="/xl/worksheets/sheet12.xml" Id="Rd63d968652f84b16" /></Relationships>
</file>

<file path=xl/tables/table1.xml><?xml version="1.0" encoding="utf-8"?>
<x:table xmlns:x="http://schemas.openxmlformats.org/spreadsheetml/2006/main" id="1" name="CustomerMasterTable" displayName="CustomerMasterTable" ref="A4:K54" headerRowCount="1" totalsRowCount="0" totalsRowShown="0">
  <x:tableColumns count="11">
    <x:tableColumn id="1" name="Account ID"/>
    <x:tableColumn id="2" name="Customer Name"/>
    <x:tableColumn id="3" name="Website Domain"/>
    <x:tableColumn id="4" name="Primary Admin"/>
    <x:tableColumn id="5" name="Admin Email"/>
    <x:tableColumn id="6" name="Country"/>
    <x:tableColumn id="7" name="Region"/>
    <x:tableColumn id="8" name="Pilot Tier"/>
    <x:tableColumn id="9" name="Eligible Employees"/>
    <x:tableColumn id="10" name="Go-Live Date"/>
    <x:tableColumn id="11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yLogTable" displayName="ActivityLogTable" ref="A4:H100" headerRowCount="1" totalsRowCount="0" totalsRowShown="0">
  <x:tableColumns count="8">
    <x:tableColumn id="1" name="Activity Date"/>
    <x:tableColumn id="2" name="Member ID"/>
    <x:tableColumn id="3" name="Region"/>
    <x:tableColumn id="4" name="Program"/>
    <x:tableColumn id="5" name="Sessions"/>
    <x:tableColumn id="6" name="Minutes"/>
    <x:tableColumn id="7" name="Challenge Completed"/>
    <x:tableColumn id="8" name="Dev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ortTicketsTable" displayName="SupportTicketsTable" ref="A4:G64" headerRowCount="1" totalsRowCount="0" totalsRowShown="0">
  <x:tableColumns count="7">
    <x:tableColumn id="1" name="Ticket ID"/>
    <x:tableColumn id="2" name="Open Date"/>
    <x:tableColumn id="3" name="Month"/>
    <x:tableColumn id="4" name="Category"/>
    <x:tableColumn id="5" name="Severity"/>
    <x:tableColumn id="6" name="Resolution Hours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MRosterTable" displayName="CRMRosterTable" ref="A4:G54" headerRowCount="1" totalsRowCount="0" totalsRowShown="0">
  <x:tableColumns count="7">
    <x:tableColumn id="1" name="Employee ID"/>
    <x:tableColumn id="2" name="Employee Name"/>
    <x:tableColumn id="3" name="Email"/>
    <x:tableColumn id="4" name="Company"/>
    <x:tableColumn id="5" name="Region"/>
    <x:tableColumn id="6" name="Consent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tformExportTable" displayName="PlatformExportTable" ref="A4:F54" headerRowCount="1" totalsRowCount="0" totalsRowShown="0">
  <x:tableColumns count="6">
    <x:tableColumn id="1" name="User ID"/>
    <x:tableColumn id="2" name="Employee ID"/>
    <x:tableColumn id="3" name="Display Name"/>
    <x:tableColumn id="4" name="Email"/>
    <x:tableColumn id="5" name="Region"/>
    <x:tableColumn id="6" name="Enrollment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nthlyKPITable" displayName="MonthlyKPITable" ref="A4:P14" headerRowCount="1" totalsRowCount="0" totalsRowShown="0">
  <x:tableColumns count="16">
    <x:tableColumn id="1" name="Metric"/>
    <x:tableColumn id="2" name="Unit"/>
    <x:tableColumn id="3" name="Aggregation"/>
    <x:tableColumn id="4" name="Favorable Direction"/>
    <x:tableColumn id="5" name="Jan"/>
    <x:tableColumn id="6" name="Feb"/>
    <x:tableColumn id="7" name="Mar"/>
    <x:tableColumn id="8" name="Apr"/>
    <x:tableColumn id="9" name="May"/>
    <x:tableColumn id="10" name="Jun"/>
    <x:tableColumn id="11" name="Jul"/>
    <x:tableColumn id="12" name="Aug"/>
    <x:tableColumn id="13" name="Sep"/>
    <x:tableColumn id="14" name="Oct"/>
    <x:tableColumn id="15" name="Nov"/>
    <x:tableColumn id="16" name="Dec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ercisePlanActualTable" displayName="ExercisePlanActualTable" ref="A4:F12" headerRowCount="1" totalsRowCount="0" totalsRowShown="0">
  <x:tableColumns count="6">
    <x:tableColumn id="1" name="KPI"/>
    <x:tableColumn id="2" name="Unit"/>
    <x:tableColumn id="3" name="Target"/>
    <x:tableColumn id="4" name="Actual"/>
    <x:tableColumn id="5" name="Favorable Direction"/>
    <x:tableColumn id="6" name="Context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5340e963e847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611dc4e400d43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ba9f324bdbbb44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28fa23c15ef34d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5abf340bef314e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7842a794358743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352c418cd45c4e2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44" hidden="0" customWidth="1"/>
    <x:col min="5" max="5" width="42" hidden="0" customWidth="1"/>
    <x:col min="6" max="6" width="44" hidden="0" customWidth="1"/>
  </x:cols>
  <x:sheetData>
    <x:row r="1" ht="28" customHeight="1">
      <x:c r="A1" s="4" t="str">
        <x:v>Zava Copilot in Excel Lab</x:v>
      </x:c>
      <x:c r="B1" s="4"/>
      <x:c r="C1" s="4"/>
      <x:c r="D1" s="4"/>
      <x:c r="E1" s="4"/>
      <x:c r="F1" s="4"/>
    </x:row>
    <x:row r="2" ht="34" customHeight="1">
      <x:c r="A2" s="10" t="str">
        <x:v>Fictional training data for knowledge-worker scenarios. Use the input sheets for the live demo; solution sheets are instructor reference only.</x:v>
      </x:c>
      <x:c r="B2" s="10"/>
      <x:c r="C2" s="10"/>
      <x:c r="D2" s="10"/>
      <x:c r="E2" s="10"/>
      <x:c r="F2" s="10"/>
    </x:row>
    <x:row r="4">
      <x:c r="A4" s="24" t="str">
        <x:v>Lesson</x:v>
      </x:c>
      <x:c r="B4" s="25" t="str">
        <x:v>Scenario</x:v>
      </x:c>
      <x:c r="C4" s="25" t="str">
        <x:v>Start here</x:v>
      </x:c>
      <x:c r="D4" s="25" t="str">
        <x:v>Primary Copilot task</x:v>
      </x:c>
      <x:c r="E4" s="25" t="str">
        <x:v>Follow-up</x:v>
      </x:c>
      <x:c r="F4" s="26" t="str">
        <x:v>Learning point</x:v>
      </x:c>
    </x:row>
    <x:row r="5">
      <x:c r="A5" s="32" t="str">
        <x:v>01</x:v>
      </x:c>
      <x:c r="B5" s="30" t="str">
        <x:v>Data validation</x:v>
      </x:c>
      <x:c r="C5" s="30" t="str">
        <x:v>01 Customer Master</x:v>
      </x:c>
      <x:c r="D5" s="30" t="str">
        <x:v>Validate a customer master before migration and identify duplicate or inconsistent records.</x:v>
      </x:c>
      <x:c r="E5" s="30" t="str">
        <x:v>Create a findings tab with severity and proposed action.</x:v>
      </x:c>
      <x:c r="F5" s="33" t="str">
        <x:v>Copilot can scan large tables for data-quality issues and explain what needs human review.</x:v>
      </x:c>
    </x:row>
    <x:row r="6">
      <x:c r="A6" s="32" t="str">
        <x:v>02</x:v>
      </x:c>
      <x:c r="B6" s="30" t="str">
        <x:v>Data analysis &amp; sensitivity</x:v>
      </x:c>
      <x:c r="C6" s="30" t="str">
        <x:v>02 Pilot Assumptions / 02 Weekly Projection</x:v>
      </x:c>
      <x:c r="D6" s="30" t="str">
        <x:v>Build linked sensitivity tables for Team Challenge adoption and retention scenarios.</x:v>
      </x:c>
      <x:c r="E6" s="30" t="str">
        <x:v>Turn the grid into an operating recommendation.</x:v>
      </x:c>
      <x:c r="F6" s="33" t="str">
        <x:v>Copilot can create formulas, reason across assumptions and explain scenario trade-offs.</x:v>
      </x:c>
    </x:row>
    <x:row r="7">
      <x:c r="A7" s="32" t="str">
        <x:v>03</x:v>
      </x:c>
      <x:c r="B7" s="30" t="str">
        <x:v>Formula generation</x:v>
      </x:c>
      <x:c r="C7" s="30" t="str">
        <x:v>03 Activity Log / 03 Support Tickets</x:v>
      </x:c>
      <x:c r="D7" s="30" t="str">
        <x:v>Create monthly summaries with formulas rather than manually writing SUMIFS/COUNTIFS.</x:v>
      </x:c>
      <x:c r="E7" s="30" t="str">
        <x:v>Explain or audit the generated formulas.</x:v>
      </x:c>
      <x:c r="F7" s="33" t="str">
        <x:v>Describe the calculation in plain language and inspect the resulting formulas.</x:v>
      </x:c>
    </x:row>
    <x:row r="8">
      <x:c r="A8" s="32" t="str">
        <x:v>04</x:v>
      </x:c>
      <x:c r="B8" s="30" t="str">
        <x:v>Reconciliation</x:v>
      </x:c>
      <x:c r="C8" s="30" t="str">
        <x:v>04 CRM Roster / 04 Platform Export</x:v>
      </x:c>
      <x:c r="D8" s="30" t="str">
        <x:v>Reconcile employee pilot rosters across two systems.</x:v>
      </x:c>
      <x:c r="E8" s="30" t="str">
        <x:v>Create a safe reconciled view while leaving ambiguous conflicts for human review.</x:v>
      </x:c>
      <x:c r="F8" s="33" t="str">
        <x:v>Copilot can compare differently shaped datasets and classify exceptions.</x:v>
      </x:c>
    </x:row>
    <x:row r="9">
      <x:c r="A9" s="32" t="str">
        <x:v>05</x:v>
      </x:c>
      <x:c r="B9" s="30" t="str">
        <x:v>Variance analysis</x:v>
      </x:c>
      <x:c r="C9" s="30" t="str">
        <x:v>05 Monthly KPI</x:v>
      </x:c>
      <x:c r="D9" s="30" t="str">
        <x:v>Aggregate monthly Team Challenge KPIs into quarters and explain changes.</x:v>
      </x:c>
      <x:c r="E9" s="30" t="str">
        <x:v>Create a management narrative based on favorable/unfavorable direction.</x:v>
      </x:c>
      <x:c r="F9" s="33" t="str">
        <x:v>Copilot can calculate variance and then interrogate why the numbers changed.</x:v>
      </x:c>
    </x:row>
    <x:row r="10">
      <x:c r="A10" s="34" t="str">
        <x:v>06</x:v>
      </x:c>
      <x:c r="B10" s="35" t="str">
        <x:v>Exercise</x:v>
      </x:c>
      <x:c r="C10" s="35" t="str">
        <x:v>06 Exercise Scenario / 06 Exercise Plan vs Actual</x:v>
      </x:c>
      <x:c r="D10" s="35" t="str">
        <x:v>Build a sensitivity table, then analyze target-vs-actual KPI variance.</x:v>
      </x:c>
      <x:c r="E10" s="35" t="str">
        <x:v>Identify the largest unfavorable gap and whether it looks temporary or persistent.</x:v>
      </x:c>
      <x:c r="F10" s="36" t="str">
        <x:v>Participants reuse the same Copilot patterns independently.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8" hidden="0" customWidth="1"/>
    <x:col min="4" max="4" width="20" hidden="0" customWidth="1"/>
    <x:col min="5" max="5" width="34" hidden="0" customWidth="1"/>
    <x:col min="6" max="6" width="15" hidden="0" customWidth="1"/>
    <x:col min="7" max="7" width="11" hidden="0" customWidth="1"/>
    <x:col min="8" max="8" width="14" hidden="0" customWidth="1"/>
    <x:col min="9" max="9" width="18" hidden="0" customWidth="1"/>
    <x:col min="10" max="10" width="14" hidden="0" customWidth="1"/>
    <x:col min="11" max="11" width="12" hidden="0" customWidth="1"/>
  </x:cols>
  <x:sheetData>
    <x:row r="1" ht="28" customHeight="1">
      <x:c r="A1" s="4" t="str">
        <x:v>Zava Enterprise Customer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Scenario: Zava is moving enterprise-wellness customer records into a new customer hub. The list must be validated before migration.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24" t="str">
        <x:v>Account ID</x:v>
      </x:c>
      <x:c r="B4" s="25" t="str">
        <x:v>Customer Name</x:v>
      </x:c>
      <x:c r="C4" s="25" t="str">
        <x:v>Website Domain</x:v>
      </x:c>
      <x:c r="D4" s="25" t="str">
        <x:v>Primary Admin</x:v>
      </x:c>
      <x:c r="E4" s="25" t="str">
        <x:v>Admin Email</x:v>
      </x:c>
      <x:c r="F4" s="25" t="str">
        <x:v>Country</x:v>
      </x:c>
      <x:c r="G4" s="25" t="str">
        <x:v>Region</x:v>
      </x:c>
      <x:c r="H4" s="25" t="str">
        <x:v>Pilot Tier</x:v>
      </x:c>
      <x:c r="I4" s="25" t="str">
        <x:v>Eligible Employees</x:v>
      </x:c>
      <x:c r="J4" s="25" t="str">
        <x:v>Go-Live Date</x:v>
      </x:c>
      <x:c r="K4" s="26" t="str">
        <x:v>Status</x:v>
      </x:c>
    </x:row>
    <x:row r="5">
      <x:c r="A5" s="46" t="str">
        <x:v>ZV-1001</x:v>
      </x:c>
      <x:c r="B5" s="47" t="str">
        <x:v>Northstar Retail Group</x:v>
      </x:c>
      <x:c r="C5" s="47" t="str">
        <x:v>northstarretail.com</x:v>
      </x:c>
      <x:c r="D5" s="47" t="str">
        <x:v>Amber Rodriguez</x:v>
      </x:c>
      <x:c r="E5" s="47" t="str">
        <x:v>amber.rodriguez@northstarretail.com</x:v>
      </x:c>
      <x:c r="F5" s="47" t="str">
        <x:v>Australia</x:v>
      </x:c>
      <x:c r="G5" s="47" t="str">
        <x:v>ANZ</x:v>
      </x:c>
      <x:c r="H5" s="47" t="str">
        <x:v>Enterprise</x:v>
      </x:c>
      <x:c r="I5" s="44" t="n">
        <x:v>900</x:v>
      </x:c>
      <x:c r="J5" s="42" t="n">
        <x:v>46307</x:v>
      </x:c>
      <x:c r="K5" s="48" t="str">
        <x:v>Ready</x:v>
      </x:c>
    </x:row>
    <x:row r="6">
      <x:c r="A6" s="46" t="str">
        <x:v>ZV-1002</x:v>
      </x:c>
      <x:c r="B6" s="47" t="str">
        <x:v>Summit Financial</x:v>
      </x:c>
      <x:c r="C6" s="47" t="str">
        <x:v>summitfinancial.com.au</x:v>
      </x:c>
      <x:c r="D6" s="47" t="str">
        <x:v>Priya Shah</x:v>
      </x:c>
      <x:c r="E6" s="47" t="str">
        <x:v>priya.shah@summitfinancial.com.au</x:v>
      </x:c>
      <x:c r="F6" s="47" t="str">
        <x:v>Australia</x:v>
      </x:c>
      <x:c r="G6" s="47" t="str">
        <x:v>ANZ</x:v>
      </x:c>
      <x:c r="H6" s="47" t="str">
        <x:v>Enterprise</x:v>
      </x:c>
      <x:c r="I6" s="44" t="n">
        <x:v>520</x:v>
      </x:c>
      <x:c r="J6" s="42" t="n">
        <x:v>46300</x:v>
      </x:c>
      <x:c r="K6" s="48" t="str">
        <x:v>Ready</x:v>
      </x:c>
    </x:row>
    <x:row r="7">
      <x:c r="A7" s="46" t="str">
        <x:v>ZV-1003</x:v>
      </x:c>
      <x:c r="B7" s="47" t="str">
        <x:v>Pacifica Foods</x:v>
      </x:c>
      <x:c r="C7" s="47" t="str">
        <x:v>pacificafoods.co.nz</x:v>
      </x:c>
      <x:c r="D7" s="47" t="str">
        <x:v>Liam Ng</x:v>
      </x:c>
      <x:c r="E7" s="47" t="str">
        <x:v>liam.ng@pacificafoods.co.nz</x:v>
      </x:c>
      <x:c r="F7" s="47" t="str">
        <x:v>New Zealand</x:v>
      </x:c>
      <x:c r="G7" s="47" t="str">
        <x:v>ANZ</x:v>
      </x:c>
      <x:c r="H7" s="47" t="str">
        <x:v>Standard</x:v>
      </x:c>
      <x:c r="I7" s="44" t="n">
        <x:v>380</x:v>
      </x:c>
      <x:c r="J7" s="42" t="n">
        <x:v>46314</x:v>
      </x:c>
      <x:c r="K7" s="48" t="str">
        <x:v>Ready</x:v>
      </x:c>
    </x:row>
    <x:row r="8">
      <x:c r="A8" s="46" t="str">
        <x:v>ZV-1004</x:v>
      </x:c>
      <x:c r="B8" s="47" t="str">
        <x:v>Harbour Health</x:v>
      </x:c>
      <x:c r="C8" s="47" t="str">
        <x:v>harbourhealth.com.au</x:v>
      </x:c>
      <x:c r="D8" s="47" t="str">
        <x:v>Ethan Brown</x:v>
      </x:c>
      <x:c r="E8" s="47" t="str">
        <x:v>ethan.brown@harbourhealth.com.au</x:v>
      </x:c>
      <x:c r="F8" s="47" t="str">
        <x:v>Australia</x:v>
      </x:c>
      <x:c r="G8" s="47" t="str">
        <x:v>ANZ</x:v>
      </x:c>
      <x:c r="H8" s="47" t="str">
        <x:v>Enterprise</x:v>
      </x:c>
      <x:c r="I8" s="44" t="n">
        <x:v>640</x:v>
      </x:c>
      <x:c r="J8" s="42" t="n">
        <x:v>46324</x:v>
      </x:c>
      <x:c r="K8" s="48" t="str">
        <x:v>Planned</x:v>
      </x:c>
    </x:row>
    <x:row r="9">
      <x:c r="A9" s="46" t="str">
        <x:v>ZV-1005</x:v>
      </x:c>
      <x:c r="B9" s="47" t="str">
        <x:v>Axis Logistics</x:v>
      </x:c>
      <x:c r="C9" s="47" t="str">
        <x:v>axislogistics.com.au</x:v>
      </x:c>
      <x:c r="D9" s="47" t="str">
        <x:v>Olivia Singh</x:v>
      </x:c>
      <x:c r="E9" s="47" t="str">
        <x:v>olivia.singh@axislogistics.com.au</x:v>
      </x:c>
      <x:c r="F9" s="47" t="str">
        <x:v>Australia</x:v>
      </x:c>
      <x:c r="G9" s="47" t="str">
        <x:v>ANZ</x:v>
      </x:c>
      <x:c r="H9" s="47" t="str">
        <x:v>Standard</x:v>
      </x:c>
      <x:c r="I9" s="44" t="n">
        <x:v>310</x:v>
      </x:c>
      <x:c r="J9" s="42" t="n">
        <x:v>46331</x:v>
      </x:c>
      <x:c r="K9" s="48" t="str">
        <x:v>Ready</x:v>
      </x:c>
    </x:row>
    <x:row r="10">
      <x:c r="A10" s="46" t="str">
        <x:v>ZV-1006</x:v>
      </x:c>
      <x:c r="B10" s="47" t="str">
        <x:v>BluePeak Energy</x:v>
      </x:c>
      <x:c r="C10" s="47" t="str">
        <x:v>bluepeakenergy.com.au</x:v>
      </x:c>
      <x:c r="D10" s="47" t="str">
        <x:v>Aria Taylor</x:v>
      </x:c>
      <x:c r="E10" s="47" t="str">
        <x:v>aria.taylor@bluepeakenergy.com.au</x:v>
      </x:c>
      <x:c r="F10" s="47" t="str">
        <x:v>Australia</x:v>
      </x:c>
      <x:c r="G10" s="47" t="str">
        <x:v>ANZ</x:v>
      </x:c>
      <x:c r="H10" s="47" t="str">
        <x:v>Enterprise</x:v>
      </x:c>
      <x:c r="I10" s="44" t="n">
        <x:v>780</x:v>
      </x:c>
      <x:c r="J10" s="42" t="n">
        <x:v>46338</x:v>
      </x:c>
      <x:c r="K10" s="48" t="str">
        <x:v>Ready</x:v>
      </x:c>
    </x:row>
    <x:row r="11">
      <x:c r="A11" s="46" t="str">
        <x:v>ZV-1007</x:v>
      </x:c>
      <x:c r="B11" s="47" t="str">
        <x:v>UrbanNest Property</x:v>
      </x:c>
      <x:c r="C11" s="47" t="str">
        <x:v>urbannestproperty.com.au</x:v>
      </x:c>
      <x:c r="D11" s="47" t="str">
        <x:v>Leo Martin</x:v>
      </x:c>
      <x:c r="E11" s="47" t="str">
        <x:v>leo.martin@urbannestproperty.com.au</x:v>
      </x:c>
      <x:c r="F11" s="47" t="str">
        <x:v>Australia</x:v>
      </x:c>
      <x:c r="G11" s="47" t="str">
        <x:v>ANZ</x:v>
      </x:c>
      <x:c r="H11" s="47" t="str">
        <x:v>Standard</x:v>
      </x:c>
      <x:c r="I11" s="44" t="n">
        <x:v>260</x:v>
      </x:c>
      <x:c r="J11" s="42" t="n">
        <x:v>46345</x:v>
      </x:c>
      <x:c r="K11" s="48" t="str">
        <x:v>Ready</x:v>
      </x:c>
    </x:row>
    <x:row r="12">
      <x:c r="A12" s="46" t="str">
        <x:v>ZV-1008</x:v>
      </x:c>
      <x:c r="B12" s="47" t="str">
        <x:v>BrightPath Education</x:v>
      </x:c>
      <x:c r="C12" s="47" t="str">
        <x:v>brightpatheducation.com.au</x:v>
      </x:c>
      <x:c r="D12" s="47" t="str">
        <x:v>Sophie Lee</x:v>
      </x:c>
      <x:c r="E12" s="47" t="str">
        <x:v>sophie.lee@brightpatheducation.com.au</x:v>
      </x:c>
      <x:c r="F12" s="47" t="str">
        <x:v>Australia</x:v>
      </x:c>
      <x:c r="G12" s="47" t="str">
        <x:v>ANZ</x:v>
      </x:c>
      <x:c r="H12" s="47" t="str">
        <x:v>Standard</x:v>
      </x:c>
      <x:c r="I12" s="44" t="n">
        <x:v>430</x:v>
      </x:c>
      <x:c r="J12" s="42" t="n">
        <x:v>46296</x:v>
      </x:c>
      <x:c r="K12" s="48" t="str">
        <x:v>Planned</x:v>
      </x:c>
    </x:row>
    <x:row r="13">
      <x:c r="A13" s="46" t="str">
        <x:v>ZV-1009</x:v>
      </x:c>
      <x:c r="B13" s="47" t="str">
        <x:v>Coastline Health</x:v>
      </x:c>
      <x:c r="C13" s="47" t="str">
        <x:v>coastlinehealth.com.au</x:v>
      </x:c>
      <x:c r="D13" s="47" t="str">
        <x:v>Jack Walker</x:v>
      </x:c>
      <x:c r="E13" s="47" t="str">
        <x:v>jack.walker@coastlinehealth.com.au</x:v>
      </x:c>
      <x:c r="F13" s="47" t="str">
        <x:v>Australia</x:v>
      </x:c>
      <x:c r="G13" s="47" t="str">
        <x:v>ANZ</x:v>
      </x:c>
      <x:c r="H13" s="47" t="str">
        <x:v>Enterprise</x:v>
      </x:c>
      <x:c r="I13" s="44" t="n">
        <x:v>510</x:v>
      </x:c>
      <x:c r="J13" s="42" t="n">
        <x:v>46303</x:v>
      </x:c>
      <x:c r="K13" s="48" t="str">
        <x:v>Ready</x:v>
      </x:c>
    </x:row>
    <x:row r="14">
      <x:c r="A14" s="46" t="str">
        <x:v>ZV-1010</x:v>
      </x:c>
      <x:c r="B14" s="47" t="str">
        <x:v>Evergreen Media</x:v>
      </x:c>
      <x:c r="C14" s="47" t="str">
        <x:v>evergreenmedia.com.au</x:v>
      </x:c>
      <x:c r="D14" s="47" t="str">
        <x:v>Ava Ng</x:v>
      </x:c>
      <x:c r="E14" s="47" t="str">
        <x:v>ava.ng@evergreenmedia.com.au</x:v>
      </x:c>
      <x:c r="F14" s="47" t="str">
        <x:v>Australia</x:v>
      </x:c>
      <x:c r="G14" s="47" t="str">
        <x:v>ANZ</x:v>
      </x:c>
      <x:c r="H14" s="47" t="str">
        <x:v>Standard</x:v>
      </x:c>
      <x:c r="I14" s="44" t="n">
        <x:v>295</x:v>
      </x:c>
      <x:c r="J14" s="42" t="n">
        <x:v>46310</x:v>
      </x:c>
      <x:c r="K14" s="48" t="str">
        <x:v>Ready</x:v>
      </x:c>
    </x:row>
    <x:row r="15">
      <x:c r="A15" s="46" t="str">
        <x:v>ZV-1011</x:v>
      </x:c>
      <x:c r="B15" s="47" t="str">
        <x:v>Lumen Consulting</x:v>
      </x:c>
      <x:c r="C15" s="47" t="str">
        <x:v>lumenconsulting.com.au</x:v>
      </x:c>
      <x:c r="D15" s="47" t="str">
        <x:v>Liam Patel</x:v>
      </x:c>
      <x:c r="E15" s="47" t="str">
        <x:v>liam.patel@lumenconsulting.com.au</x:v>
      </x:c>
      <x:c r="F15" s="47" t="str">
        <x:v>Australia</x:v>
      </x:c>
      <x:c r="G15" s="47" t="str">
        <x:v>ANZ</x:v>
      </x:c>
      <x:c r="H15" s="47" t="str">
        <x:v>Standard</x:v>
      </x:c>
      <x:c r="I15" s="44" t="n">
        <x:v>240</x:v>
      </x:c>
      <x:c r="J15" s="42" t="n">
        <x:v>46317</x:v>
      </x:c>
      <x:c r="K15" s="48" t="str">
        <x:v>Ready</x:v>
      </x:c>
    </x:row>
    <x:row r="16">
      <x:c r="A16" s="46" t="str">
        <x:v>ZV-1012</x:v>
      </x:c>
      <x:c r="B16" s="47" t="str">
        <x:v>Orchid Telecom</x:v>
      </x:c>
      <x:c r="C16" s="47" t="str">
        <x:v>orchidtelecom.co.nz</x:v>
      </x:c>
      <x:c r="D16" s="47" t="str">
        <x:v>Noah Chen</x:v>
      </x:c>
      <x:c r="E16" s="47" t="str">
        <x:v>noah.chen@orchidtelecom.co.nz</x:v>
      </x:c>
      <x:c r="F16" s="47" t="str">
        <x:v>New Zealand</x:v>
      </x:c>
      <x:c r="G16" s="47" t="str">
        <x:v>ANZ</x:v>
      </x:c>
      <x:c r="H16" s="47" t="str">
        <x:v>Enterprise</x:v>
      </x:c>
      <x:c r="I16" s="44" t="n">
        <x:v>460</x:v>
      </x:c>
      <x:c r="J16" s="42" t="n">
        <x:v>46324</x:v>
      </x:c>
      <x:c r="K16" s="48" t="str">
        <x:v>Planned</x:v>
      </x:c>
    </x:row>
    <x:row r="17">
      <x:c r="A17" s="46" t="str">
        <x:v>ZV-1013</x:v>
      </x:c>
      <x:c r="B17" s="47" t="str">
        <x:v>Silverline Insurance</x:v>
      </x:c>
      <x:c r="C17" s="47" t="str">
        <x:v>silverlineinsurance.com.au</x:v>
      </x:c>
      <x:c r="D17" s="47" t="str">
        <x:v>Mia Wilson</x:v>
      </x:c>
      <x:c r="E17" s="47" t="str">
        <x:v>mia.wilson@silverlineinsurance.com.au</x:v>
      </x:c>
      <x:c r="F17" s="47" t="str">
        <x:v>Australia</x:v>
      </x:c>
      <x:c r="G17" s="47" t="str">
        <x:v>ANZ</x:v>
      </x:c>
      <x:c r="H17" s="47" t="str">
        <x:v>Enterprise</x:v>
      </x:c>
      <x:c r="I17" s="44" t="n">
        <x:v>580</x:v>
      </x:c>
      <x:c r="J17" s="42" t="n">
        <x:v>46331</x:v>
      </x:c>
      <x:c r="K17" s="48" t="str">
        <x:v>Ready</x:v>
      </x:c>
    </x:row>
    <x:row r="18">
      <x:c r="A18" s="46" t="str">
        <x:v>ZV-1014</x:v>
      </x:c>
      <x:c r="B18" s="47" t="str">
        <x:v>Nova Manufacturing</x:v>
      </x:c>
      <x:c r="C18" s="47" t="str">
        <x:v>novamanufacturing.com.au</x:v>
      </x:c>
      <x:c r="D18" s="47" t="str">
        <x:v>Ethan Brown</x:v>
      </x:c>
      <x:c r="E18" s="47" t="str">
        <x:v>ethan.brown@novamanufacturing.com.au</x:v>
      </x:c>
      <x:c r="F18" s="47" t="str">
        <x:v>Australia</x:v>
      </x:c>
      <x:c r="G18" s="47" t="str">
        <x:v>ANZ</x:v>
      </x:c>
      <x:c r="H18" s="47" t="str">
        <x:v>Standard</x:v>
      </x:c>
      <x:c r="I18" s="44" t="n">
        <x:v>350</x:v>
      </x:c>
      <x:c r="J18" s="42" t="n">
        <x:v>46338</x:v>
      </x:c>
      <x:c r="K18" s="48" t="str">
        <x:v>Ready</x:v>
      </x:c>
    </x:row>
    <x:row r="19">
      <x:c r="A19" s="46" t="str">
        <x:v>ZV-1015</x:v>
      </x:c>
      <x:c r="B19" s="47" t="str">
        <x:v>HarbourWorks</x:v>
      </x:c>
      <x:c r="C19" s="47" t="str">
        <x:v>harbourworks.com.au</x:v>
      </x:c>
      <x:c r="D19" s="47" t="str">
        <x:v>Olivia Singh</x:v>
      </x:c>
      <x:c r="E19" s="47" t="str">
        <x:v>olivia.singh@harbourworks.com.au</x:v>
      </x:c>
      <x:c r="F19" s="47" t="str">
        <x:v>Australia</x:v>
      </x:c>
      <x:c r="G19" s="47" t="str">
        <x:v>ANZ</x:v>
      </x:c>
      <x:c r="H19" s="47" t="str">
        <x:v>Standard</x:v>
      </x:c>
      <x:c r="I19" s="44" t="n">
        <x:v>275</x:v>
      </x:c>
      <x:c r="J19" s="42" t="n">
        <x:v>46345</x:v>
      </x:c>
      <x:c r="K19" s="48" t="str">
        <x:v>Ready</x:v>
      </x:c>
    </x:row>
    <x:row r="20">
      <x:c r="A20" s="46" t="str">
        <x:v>ZV-1016</x:v>
      </x:c>
      <x:c r="B20" s="47" t="str">
        <x:v>Cedar &amp; Co</x:v>
      </x:c>
      <x:c r="C20" s="47" t="str">
        <x:v>cedarco.com.au</x:v>
      </x:c>
      <x:c r="D20" s="47" t="str">
        <x:v>External Admin</x:v>
      </x:c>
      <x:c r="E20" s="47" t="str">
        <x:v>shared.admin@consultpartner.com</x:v>
      </x:c>
      <x:c r="F20" s="47" t="str">
        <x:v>Australia</x:v>
      </x:c>
      <x:c r="G20" s="47" t="str">
        <x:v>ANZ</x:v>
      </x:c>
      <x:c r="H20" s="47" t="str">
        <x:v>Standard</x:v>
      </x:c>
      <x:c r="I20" s="44" t="n">
        <x:v>220</x:v>
      </x:c>
      <x:c r="J20" s="42" t="n">
        <x:v>46296</x:v>
      </x:c>
      <x:c r="K20" s="48" t="str">
        <x:v>Planned</x:v>
      </x:c>
    </x:row>
    <x:row r="21">
      <x:c r="A21" s="46" t="str">
        <x:v>ZV-1017</x:v>
      </x:c>
      <x:c r="B21" s="47" t="str">
        <x:v>Redwood Services</x:v>
      </x:c>
      <x:c r="C21" s="47" t="str">
        <x:v>redwoodservices.com.au</x:v>
      </x:c>
      <x:c r="D21" s="47" t="str">
        <x:v>Leo Martin</x:v>
      </x:c>
      <x:c r="E21" s="47" t="str">
        <x:v>leo.martin@redwoodservices.com.au</x:v>
      </x:c>
      <x:c r="F21" s="47" t="str">
        <x:v>Australia</x:v>
      </x:c>
      <x:c r="G21" s="47" t="str">
        <x:v>ANZ</x:v>
      </x:c>
      <x:c r="H21" s="47" t="str">
        <x:v>Standard</x:v>
      </x:c>
      <x:c r="I21" s="44" t="n">
        <x:v>330</x:v>
      </x:c>
      <x:c r="J21" s="42" t="n">
        <x:v>46303</x:v>
      </x:c>
      <x:c r="K21" s="48" t="str">
        <x:v>Ready</x:v>
      </x:c>
    </x:row>
    <x:row r="22">
      <x:c r="A22" s="46" t="str">
        <x:v>ZV-1018</x:v>
      </x:c>
      <x:c r="B22" s="47" t="str">
        <x:v>Pioneer Mobility</x:v>
      </x:c>
      <x:c r="C22" s="47" t="str">
        <x:v>pioneermobility.com.au</x:v>
      </x:c>
      <x:c r="D22" s="47" t="str">
        <x:v>Sophie Lee</x:v>
      </x:c>
      <x:c r="E22" s="47" t="str">
        <x:v>sophie.lee@pioneermobility.com.au</x:v>
      </x:c>
      <x:c r="F22" s="47" t="str">
        <x:v>Australia</x:v>
      </x:c>
      <x:c r="G22" s="47" t="str">
        <x:v>ANZ</x:v>
      </x:c>
      <x:c r="H22" s="47" t="str">
        <x:v>Standard</x:v>
      </x:c>
      <x:c r="I22" s="44" t="n">
        <x:v>410</x:v>
      </x:c>
      <x:c r="J22" s="42" t="n">
        <x:v>46310</x:v>
      </x:c>
      <x:c r="K22" s="48" t="str">
        <x:v>Ready</x:v>
      </x:c>
    </x:row>
    <x:row r="23">
      <x:c r="A23" s="46" t="str">
        <x:v>ZV-1019</x:v>
      </x:c>
      <x:c r="B23" s="47" t="str">
        <x:v>Atlas Travel</x:v>
      </x:c>
      <x:c r="C23" s="47" t="str">
        <x:v>atlastravel.com.au</x:v>
      </x:c>
      <x:c r="D23" s="47" t="str">
        <x:v>Jack Walker</x:v>
      </x:c>
      <x:c r="E23" s="47" t="str">
        <x:v>jack.walker@atlastravel.com.au</x:v>
      </x:c>
      <x:c r="F23" s="47" t="str">
        <x:v>Australia</x:v>
      </x:c>
      <x:c r="G23" s="47" t="str">
        <x:v>ANZ</x:v>
      </x:c>
      <x:c r="H23" s="47" t="str">
        <x:v>Enterprise</x:v>
      </x:c>
      <x:c r="I23" s="44" t="n">
        <x:v>490</x:v>
      </x:c>
      <x:c r="J23" s="42" t="n">
        <x:v>46317</x:v>
      </x:c>
      <x:c r="K23" s="48" t="str">
        <x:v>Ready</x:v>
      </x:c>
    </x:row>
    <x:row r="24">
      <x:c r="A24" s="46" t="str">
        <x:v>ZV-1020</x:v>
      </x:c>
      <x:c r="B24" s="47" t="str">
        <x:v>Greenline Media</x:v>
      </x:c>
      <x:c r="C24" s="47" t="str">
        <x:v>greenlinemedia.com.au</x:v>
      </x:c>
      <x:c r="D24" s="47" t="str">
        <x:v>Ava Ng</x:v>
      </x:c>
      <x:c r="E24" s="47" t="str">
        <x:v>ava.ng@greenlinemedia.com.au</x:v>
      </x:c>
      <x:c r="F24" s="47" t="str">
        <x:v>Australia</x:v>
      </x:c>
      <x:c r="G24" s="47" t="str">
        <x:v>ANZ</x:v>
      </x:c>
      <x:c r="H24" s="47" t="str">
        <x:v>Standard</x:v>
      </x:c>
      <x:c r="I24" s="44" t="n">
        <x:v>280</x:v>
      </x:c>
      <x:c r="J24" s="42" t="n">
        <x:v>46324</x:v>
      </x:c>
      <x:c r="K24" s="48" t="str">
        <x:v>Planned</x:v>
      </x:c>
    </x:row>
    <x:row r="25">
      <x:c r="A25" s="46" t="str">
        <x:v>ZV-1021</x:v>
      </x:c>
      <x:c r="B25" s="47" t="str">
        <x:v>Horizon Utilities</x:v>
      </x:c>
      <x:c r="C25" s="47" t="str">
        <x:v>horizonutilities.com.au</x:v>
      </x:c>
      <x:c r="D25" s="47" t="str">
        <x:v>Liam Patel</x:v>
      </x:c>
      <x:c r="E25" s="47" t="str">
        <x:v>liam.patel@horizonutilities.com.au</x:v>
      </x:c>
      <x:c r="F25" s="47" t="str">
        <x:v>Australia</x:v>
      </x:c>
      <x:c r="G25" s="47" t="str">
        <x:v>ANZ</x:v>
      </x:c>
      <x:c r="H25" s="47" t="str">
        <x:v>Enterprise</x:v>
      </x:c>
      <x:c r="I25" s="44" t="n">
        <x:v>720</x:v>
      </x:c>
      <x:c r="J25" s="42" t="n">
        <x:v>46331</x:v>
      </x:c>
      <x:c r="K25" s="48" t="str">
        <x:v>Ready</x:v>
      </x:c>
    </x:row>
    <x:row r="26">
      <x:c r="A26" s="46" t="str">
        <x:v>ZV-1022</x:v>
      </x:c>
      <x:c r="B26" s="47" t="str">
        <x:v>MetroFit Clubs</x:v>
      </x:c>
      <x:c r="C26" s="47" t="str">
        <x:v>metrofitclubs.com.au</x:v>
      </x:c>
      <x:c r="D26" s="47" t="str">
        <x:v>Noah Chen</x:v>
      </x:c>
      <x:c r="E26" s="47" t="str">
        <x:v>noah.chen@metrofitclubs.com.au</x:v>
      </x:c>
      <x:c r="F26" s="47" t="str">
        <x:v>Australia</x:v>
      </x:c>
      <x:c r="G26" s="47" t="str">
        <x:v>ANZ</x:v>
      </x:c>
      <x:c r="H26" s="47" t="str">
        <x:v>Standard</x:v>
      </x:c>
      <x:c r="I26" s="44" t="n">
        <x:v>300</x:v>
      </x:c>
      <x:c r="J26" s="42" t="n">
        <x:v>46338</x:v>
      </x:c>
      <x:c r="K26" s="48" t="str">
        <x:v>Ready</x:v>
      </x:c>
    </x:row>
    <x:row r="27">
      <x:c r="A27" s="46" t="str">
        <x:v>ZV-1023</x:v>
      </x:c>
      <x:c r="B27" s="47" t="str">
        <x:v>CloudNine Design</x:v>
      </x:c>
      <x:c r="C27" s="47" t="str">
        <x:v>cloudninedesign.com.au</x:v>
      </x:c>
      <x:c r="D27" s="47" t="str">
        <x:v>Mia Wilson</x:v>
      </x:c>
      <x:c r="E27" s="47" t="str">
        <x:v>mia.wilson@cloudninedesign.com.au</x:v>
      </x:c>
      <x:c r="F27" s="47" t="str">
        <x:v>Australia</x:v>
      </x:c>
      <x:c r="G27" s="47" t="str">
        <x:v>ANZ</x:v>
      </x:c>
      <x:c r="H27" s="47" t="str">
        <x:v>Standard</x:v>
      </x:c>
      <x:c r="I27" s="44" t="n">
        <x:v>260</x:v>
      </x:c>
      <x:c r="J27" s="42" t="n">
        <x:v>46345</x:v>
      </x:c>
      <x:c r="K27" s="48" t="str">
        <x:v>Ready</x:v>
      </x:c>
    </x:row>
    <x:row r="28">
      <x:c r="A28" s="46" t="str">
        <x:v>ZV-1024</x:v>
      </x:c>
      <x:c r="B28" s="47" t="str">
        <x:v>Vista Hospitality</x:v>
      </x:c>
      <x:c r="C28" s="47" t="str">
        <x:v>vistahospitality.com.au</x:v>
      </x:c>
      <x:c r="D28" s="47" t="str">
        <x:v>Ethan Brown</x:v>
      </x:c>
      <x:c r="E28" s="47" t="str">
        <x:v>ethan.brown@vistahospitality.com.au</x:v>
      </x:c>
      <x:c r="F28" s="47" t="str">
        <x:v>Australia</x:v>
      </x:c>
      <x:c r="G28" s="47" t="str">
        <x:v>ANZ</x:v>
      </x:c>
      <x:c r="H28" s="47" t="str">
        <x:v>Enterprise</x:v>
      </x:c>
      <x:c r="I28" s="44" t="n">
        <x:v>540</x:v>
      </x:c>
      <x:c r="J28" s="42" t="n">
        <x:v>46296</x:v>
      </x:c>
      <x:c r="K28" s="48" t="str">
        <x:v>Planned</x:v>
      </x:c>
    </x:row>
    <x:row r="29">
      <x:c r="A29" s="46" t="str">
        <x:v>ZV-1025</x:v>
      </x:c>
      <x:c r="B29" s="47" t="str">
        <x:v>Beacon Legal</x:v>
      </x:c>
      <x:c r="C29" s="47" t="str">
        <x:v>beaconlegal.com.au</x:v>
      </x:c>
      <x:c r="D29" s="47" t="str">
        <x:v>Olivia Singh</x:v>
      </x:c>
      <x:c r="E29" s="47" t="str">
        <x:v>olivia.singh@beaconlegal.com.au</x:v>
      </x:c>
      <x:c r="F29" s="47" t="str">
        <x:v>Australia</x:v>
      </x:c>
      <x:c r="G29" s="47" t="str">
        <x:v>ANZ</x:v>
      </x:c>
      <x:c r="H29" s="47" t="str">
        <x:v>Standard</x:v>
      </x:c>
      <x:c r="I29" s="44" t="n">
        <x:v>210</x:v>
      </x:c>
      <x:c r="J29" s="42" t="n">
        <x:v>46303</x:v>
      </x:c>
      <x:c r="K29" s="48" t="str">
        <x:v>Ready</x:v>
      </x:c>
    </x:row>
    <x:row r="30">
      <x:c r="A30" s="46" t="str">
        <x:v>ZV-1026</x:v>
      </x:c>
      <x:c r="B30" s="47" t="str">
        <x:v>Riverstone Mining</x:v>
      </x:c>
      <x:c r="C30" s="47" t="str">
        <x:v>riverstonemining.com.au</x:v>
      </x:c>
      <x:c r="D30" s="47" t="str">
        <x:v>Aria Taylor</x:v>
      </x:c>
      <x:c r="E30" s="47" t="str">
        <x:v>aria.taylor@riverstonemining.com.au</x:v>
      </x:c>
      <x:c r="F30" s="47" t="str">
        <x:v>Australia</x:v>
      </x:c>
      <x:c r="G30" s="47" t="str">
        <x:v>ANZ</x:v>
      </x:c>
      <x:c r="H30" s="47" t="str">
        <x:v>Enterprise</x:v>
      </x:c>
      <x:c r="I30" s="44" t="n">
        <x:v>680</x:v>
      </x:c>
      <x:c r="J30" s="42" t="n">
        <x:v>46310</x:v>
      </x:c>
      <x:c r="K30" s="48" t="str">
        <x:v>Ready</x:v>
      </x:c>
    </x:row>
    <x:row r="31">
      <x:c r="A31" s="46" t="str">
        <x:v>ZV-1027</x:v>
      </x:c>
      <x:c r="B31" s="47" t="str">
        <x:v>Sunrise Aged Care</x:v>
      </x:c>
      <x:c r="C31" s="47" t="str">
        <x:v>sunriseagedcare.com.au</x:v>
      </x:c>
      <x:c r="D31" s="47" t="str">
        <x:v>Leo Martin</x:v>
      </x:c>
      <x:c r="E31" s="47" t="str">
        <x:v>leo.martin@sunriseagedcare.com.au</x:v>
      </x:c>
      <x:c r="F31" s="47" t="str">
        <x:v>Australia</x:v>
      </x:c>
      <x:c r="G31" s="47" t="str">
        <x:v>ANZ</x:v>
      </x:c>
      <x:c r="H31" s="47" t="str">
        <x:v>Standard</x:v>
      </x:c>
      <x:c r="I31" s="44" t="n">
        <x:v>390</x:v>
      </x:c>
      <x:c r="J31" s="42" t="n">
        <x:v>46317</x:v>
      </x:c>
      <x:c r="K31" s="48" t="str">
        <x:v>Ready</x:v>
      </x:c>
    </x:row>
    <x:row r="32">
      <x:c r="A32" s="46" t="str">
        <x:v>ZV-1028</x:v>
      </x:c>
      <x:c r="B32" s="47" t="str">
        <x:v>Vertex Construction</x:v>
      </x:c>
      <x:c r="C32" s="47" t="str">
        <x:v>vertexconstruction.com.au</x:v>
      </x:c>
      <x:c r="D32" s="47" t="str">
        <x:v>Sophie Lee</x:v>
      </x:c>
      <x:c r="E32" s="47" t="str">
        <x:v>sophie.lee@vertexconstruction.com.au</x:v>
      </x:c>
      <x:c r="F32" s="47" t="str">
        <x:v>Australia</x:v>
      </x:c>
      <x:c r="G32" s="47" t="str">
        <x:v>ANZ</x:v>
      </x:c>
      <x:c r="H32" s="47" t="str">
        <x:v>Standard</x:v>
      </x:c>
      <x:c r="I32" s="44" t="n">
        <x:v>340</x:v>
      </x:c>
      <x:c r="J32" s="42" t="n">
        <x:v>46324</x:v>
      </x:c>
      <x:c r="K32" s="48" t="str">
        <x:v>Planned</x:v>
      </x:c>
    </x:row>
    <x:row r="33">
      <x:c r="A33" s="46" t="str">
        <x:v>ZV-1029</x:v>
      </x:c>
      <x:c r="B33" s="47" t="str">
        <x:v>CoralTech</x:v>
      </x:c>
      <x:c r="C33" s="47" t="str">
        <x:v>coraltech.co.nz</x:v>
      </x:c>
      <x:c r="D33" s="47" t="str">
        <x:v>Jack Walker</x:v>
      </x:c>
      <x:c r="E33" s="47" t="str">
        <x:v>jack.walker@coraltech.co.nz</x:v>
      </x:c>
      <x:c r="F33" s="47" t="str">
        <x:v>New Zealand</x:v>
      </x:c>
      <x:c r="G33" s="47" t="str">
        <x:v>ANZ</x:v>
      </x:c>
      <x:c r="H33" s="47" t="str">
        <x:v>Standard</x:v>
      </x:c>
      <x:c r="I33" s="44" t="n">
        <x:v>250</x:v>
      </x:c>
      <x:c r="J33" s="42" t="n">
        <x:v>46331</x:v>
      </x:c>
      <x:c r="K33" s="48" t="str">
        <x:v>Ready</x:v>
      </x:c>
    </x:row>
    <x:row r="34">
      <x:c r="A34" s="46" t="str">
        <x:v>ZV-1030</x:v>
      </x:c>
      <x:c r="B34" s="47" t="str">
        <x:v>Oak &amp; Finch</x:v>
      </x:c>
      <x:c r="C34" s="47" t="str">
        <x:v>oakfinch.com.au</x:v>
      </x:c>
      <x:c r="D34" s="47" t="str">
        <x:v>Ava Ng</x:v>
      </x:c>
      <x:c r="E34" s="47" t="str">
        <x:v>ava.ng@oakfinch.com.au</x:v>
      </x:c>
      <x:c r="F34" s="47" t="str">
        <x:v>Australia</x:v>
      </x:c>
      <x:c r="G34" s="47" t="str">
        <x:v>ANZ</x:v>
      </x:c>
      <x:c r="H34" s="47" t="str">
        <x:v>Standard</x:v>
      </x:c>
      <x:c r="I34" s="44" t="n">
        <x:v>305</x:v>
      </x:c>
      <x:c r="J34" s="42" t="n">
        <x:v>46338</x:v>
      </x:c>
      <x:c r="K34" s="48" t="str">
        <x:v>Ready</x:v>
      </x:c>
    </x:row>
    <x:row r="35">
      <x:c r="A35" s="46" t="str">
        <x:v>ZV-1031</x:v>
      </x:c>
      <x:c r="B35" s="47" t="str">
        <x:v>Momentum HR</x:v>
      </x:c>
      <x:c r="C35" s="47" t="str">
        <x:v>momentumhr.com.au</x:v>
      </x:c>
      <x:c r="D35" s="47" t="str">
        <x:v>Liam Patel</x:v>
      </x:c>
      <x:c r="E35" s="47" t="str">
        <x:v>liam.patel@momentumhr.com.au</x:v>
      </x:c>
      <x:c r="F35" s="47" t="str">
        <x:v>Australia</x:v>
      </x:c>
      <x:c r="G35" s="47" t="str">
        <x:v>ANZ</x:v>
      </x:c>
      <x:c r="H35" s="47" t="str">
        <x:v>Standard</x:v>
      </x:c>
      <x:c r="I35" s="44" t="n">
        <x:v>325</x:v>
      </x:c>
      <x:c r="J35" s="42" t="n">
        <x:v>46345</x:v>
      </x:c>
      <x:c r="K35" s="48" t="str">
        <x:v>Ready</x:v>
      </x:c>
    </x:row>
    <x:row r="36">
      <x:c r="A36" s="46" t="str">
        <x:v>ZV-1032</x:v>
      </x:c>
      <x:c r="B36" s="47" t="str">
        <x:v>Westbridge University</x:v>
      </x:c>
      <x:c r="C36" s="47" t="str">
        <x:v>westbridgeuniversity.com.au</x:v>
      </x:c>
      <x:c r="D36" s="47" t="str">
        <x:v>Noah Chen</x:v>
      </x:c>
      <x:c r="E36" s="47" t="str">
        <x:v>noah.chen@westbridgeuniversity.com.au</x:v>
      </x:c>
      <x:c r="F36" s="47" t="str">
        <x:v>Australia</x:v>
      </x:c>
      <x:c r="G36" s="47" t="str">
        <x:v>ANZ</x:v>
      </x:c>
      <x:c r="H36" s="47" t="str">
        <x:v>Enterprise</x:v>
      </x:c>
      <x:c r="I36" s="44" t="n">
        <x:v>610</x:v>
      </x:c>
      <x:c r="J36" s="42" t="n">
        <x:v>46296</x:v>
      </x:c>
      <x:c r="K36" s="48" t="str">
        <x:v>Planned</x:v>
      </x:c>
    </x:row>
    <x:row r="37">
      <x:c r="A37" s="46" t="str">
        <x:v>ZV-1033</x:v>
      </x:c>
      <x:c r="B37" s="47" t="str">
        <x:v>Clearwater Labs</x:v>
      </x:c>
      <x:c r="C37" s="47" t="str">
        <x:v>clearwaterlabs.com.au</x:v>
      </x:c>
      <x:c r="D37" s="47" t="str">
        <x:v>Mia Wilson</x:v>
      </x:c>
      <x:c r="E37" s="47" t="str">
        <x:v>mia.wilson@clearwaterlabs.com.au</x:v>
      </x:c>
      <x:c r="F37" s="47" t="str">
        <x:v>Australia</x:v>
      </x:c>
      <x:c r="G37" s="47" t="str">
        <x:v>ANZ</x:v>
      </x:c>
      <x:c r="H37" s="47" t="str">
        <x:v>Standard</x:v>
      </x:c>
      <x:c r="I37" s="44" t="n">
        <x:v>245</x:v>
      </x:c>
      <x:c r="J37" s="42" t="n">
        <x:v>46303</x:v>
      </x:c>
      <x:c r="K37" s="48" t="str">
        <x:v>Ready</x:v>
      </x:c>
    </x:row>
    <x:row r="38">
      <x:c r="A38" s="46" t="str">
        <x:v>ZV-1034</x:v>
      </x:c>
      <x:c r="B38" s="47" t="str">
        <x:v>Peak Retail</x:v>
      </x:c>
      <x:c r="C38" s="47" t="str">
        <x:v>peakretail.com.au</x:v>
      </x:c>
      <x:c r="D38" s="47" t="str">
        <x:v>Ethan Brown</x:v>
      </x:c>
      <x:c r="E38" s="47" t="str">
        <x:v>ethan.brown@peakretail.com.au</x:v>
      </x:c>
      <x:c r="F38" s="47" t="str">
        <x:v>Australia</x:v>
      </x:c>
      <x:c r="G38" s="47" t="str">
        <x:v>ANZ</x:v>
      </x:c>
      <x:c r="H38" s="47" t="str">
        <x:v>Enterprise</x:v>
      </x:c>
      <x:c r="I38" s="44" t="n">
        <x:v>450</x:v>
      </x:c>
      <x:c r="J38" s="42" t="n">
        <x:v>46310</x:v>
      </x:c>
      <x:c r="K38" s="48" t="str">
        <x:v>Ready</x:v>
      </x:c>
    </x:row>
    <x:row r="39">
      <x:c r="A39" s="46" t="str">
        <x:v>ZV-1035</x:v>
      </x:c>
      <x:c r="B39" s="47" t="str">
        <x:v>Nimbus Software</x:v>
      </x:c>
      <x:c r="C39" s="47" t="str">
        <x:v>nimbussoftware.com.au</x:v>
      </x:c>
      <x:c r="D39" s="47" t="str">
        <x:v>Olivia Singh</x:v>
      </x:c>
      <x:c r="E39" s="47" t="str">
        <x:v>olivia.singh@nimbussoftware.com.au</x:v>
      </x:c>
      <x:c r="F39" s="47" t="str">
        <x:v>Australia</x:v>
      </x:c>
      <x:c r="G39" s="47" t="str">
        <x:v>ANZ</x:v>
      </x:c>
      <x:c r="H39" s="47" t="str">
        <x:v>Standard</x:v>
      </x:c>
      <x:c r="I39" s="44" t="n">
        <x:v>370</x:v>
      </x:c>
      <x:c r="J39" s="42" t="n">
        <x:v>46317</x:v>
      </x:c>
      <x:c r="K39" s="48" t="str">
        <x:v>Ready</x:v>
      </x:c>
    </x:row>
    <x:row r="40">
      <x:c r="A40" s="46" t="str">
        <x:v>ZV-1036</x:v>
      </x:c>
      <x:c r="B40" s="47" t="str">
        <x:v>Fieldstone Agriculture</x:v>
      </x:c>
      <x:c r="C40" s="47" t="str">
        <x:v>fieldstoneagriculture.com.au</x:v>
      </x:c>
      <x:c r="D40" s="47" t="str">
        <x:v>Aria Taylor</x:v>
      </x:c>
      <x:c r="E40" s="47" t="str">
        <x:v>aria.taylor@fieldstoneagriculture.com.au</x:v>
      </x:c>
      <x:c r="F40" s="47" t="str">
        <x:v>Australia</x:v>
      </x:c>
      <x:c r="G40" s="47" t="str">
        <x:v>ANZ</x:v>
      </x:c>
      <x:c r="H40" s="47" t="str">
        <x:v>Standard</x:v>
      </x:c>
      <x:c r="I40" s="44" t="n">
        <x:v>290</x:v>
      </x:c>
      <x:c r="J40" s="42" t="n">
        <x:v>46324</x:v>
      </x:c>
      <x:c r="K40" s="48" t="str">
        <x:v>Planned</x:v>
      </x:c>
    </x:row>
    <x:row r="41">
      <x:c r="A41" s="46" t="str">
        <x:v>ZV-1037</x:v>
      </x:c>
      <x:c r="B41" s="47" t="str">
        <x:v>Seabreeze Hotels</x:v>
      </x:c>
      <x:c r="C41" s="47" t="str">
        <x:v>seabreezehotels.com.au</x:v>
      </x:c>
      <x:c r="D41" s="47" t="str">
        <x:v>Leo Martin</x:v>
      </x:c>
      <x:c r="E41" s="47" t="str">
        <x:v>leo.martin@seabreezehotels.com.au</x:v>
      </x:c>
      <x:c r="F41" s="47" t="str">
        <x:v>Australia</x:v>
      </x:c>
      <x:c r="G41" s="47" t="str">
        <x:v>ANZ</x:v>
      </x:c>
      <x:c r="H41" s="47" t="str">
        <x:v>Standard</x:v>
      </x:c>
      <x:c r="I41" s="44" t="n">
        <x:v>230</x:v>
      </x:c>
      <x:c r="J41" s="42" t="n">
        <x:v>46331</x:v>
      </x:c>
      <x:c r="K41" s="48" t="str">
        <x:v>Ready</x:v>
      </x:c>
    </x:row>
    <x:row r="42">
      <x:c r="A42" s="46" t="str">
        <x:v>ZV-1038</x:v>
      </x:c>
      <x:c r="B42" s="47" t="str">
        <x:v>Cobalt Security</x:v>
      </x:c>
      <x:c r="C42" s="47" t="str">
        <x:v>cobaltsecurity.com.au</x:v>
      </x:c>
      <x:c r="D42" s="47" t="str">
        <x:v>Sophie Lee</x:v>
      </x:c>
      <x:c r="E42" s="47" t="str">
        <x:v>sophie.lee@cobaltsecurity.com.au</x:v>
      </x:c>
      <x:c r="F42" s="47" t="str">
        <x:v>Australia</x:v>
      </x:c>
      <x:c r="G42" s="47" t="str">
        <x:v>ANZ</x:v>
      </x:c>
      <x:c r="H42" s="47" t="str">
        <x:v>Enterprise</x:v>
      </x:c>
      <x:c r="I42" s="44" t="n">
        <x:v>470</x:v>
      </x:c>
      <x:c r="J42" s="42" t="n">
        <x:v>46338</x:v>
      </x:c>
      <x:c r="K42" s="48" t="str">
        <x:v>Ready</x:v>
      </x:c>
    </x:row>
    <x:row r="43">
      <x:c r="A43" s="46" t="str">
        <x:v>ZV-1039</x:v>
      </x:c>
      <x:c r="B43" s="47" t="str">
        <x:v>NewDay Pharmacy</x:v>
      </x:c>
      <x:c r="C43" s="47" t="str">
        <x:v>newdaypharmacy.com.au</x:v>
      </x:c>
      <x:c r="D43" s="47" t="str">
        <x:v>Jack Walker</x:v>
      </x:c>
      <x:c r="E43" s="47" t="str">
        <x:v>jack.walker@newdaypharmacy.com.au</x:v>
      </x:c>
      <x:c r="F43" s="47" t="str">
        <x:v>Australia</x:v>
      </x:c>
      <x:c r="G43" s="47" t="str">
        <x:v>ANZ</x:v>
      </x:c>
      <x:c r="H43" s="47" t="str">
        <x:v>Standard</x:v>
      </x:c>
      <x:c r="I43" s="44" t="n">
        <x:v>265</x:v>
      </x:c>
      <x:c r="J43" s="42" t="n">
        <x:v>46345</x:v>
      </x:c>
      <x:c r="K43" s="48" t="str">
        <x:v>Ready</x:v>
      </x:c>
    </x:row>
    <x:row r="44">
      <x:c r="A44" s="46" t="str">
        <x:v>ZV-1040</x:v>
      </x:c>
      <x:c r="B44" s="47" t="str">
        <x:v>Maple &amp; Mason</x:v>
      </x:c>
      <x:c r="C44" s="47" t="str">
        <x:v>maplemason.com.au</x:v>
      </x:c>
      <x:c r="D44" s="47" t="str">
        <x:v>Ava Ng</x:v>
      </x:c>
      <x:c r="E44" s="47" t="str">
        <x:v>ava.ng@maplemason.com.au</x:v>
      </x:c>
      <x:c r="F44" s="47" t="str">
        <x:v>Australia</x:v>
      </x:c>
      <x:c r="G44" s="47" t="str">
        <x:v>ANZ</x:v>
      </x:c>
      <x:c r="H44" s="47" t="str">
        <x:v>Standard</x:v>
      </x:c>
      <x:c r="I44" s="44" t="n">
        <x:v>315</x:v>
      </x:c>
      <x:c r="J44" s="42" t="n">
        <x:v>46296</x:v>
      </x:c>
      <x:c r="K44" s="48" t="str">
        <x:v>Planned</x:v>
      </x:c>
    </x:row>
    <x:row r="45">
      <x:c r="A45" s="46" t="str">
        <x:v>ZV-1041</x:v>
      </x:c>
      <x:c r="B45" s="47" t="str">
        <x:v>Ironwood Engineering</x:v>
      </x:c>
      <x:c r="C45" s="47" t="str">
        <x:v>ironwoodengineering.com.au</x:v>
      </x:c>
      <x:c r="D45" s="47" t="str">
        <x:v>Liam Patel</x:v>
      </x:c>
      <x:c r="E45" s="47" t="str">
        <x:v>liam.patel@ironwoodengineering.com.au</x:v>
      </x:c>
      <x:c r="F45" s="47" t="str">
        <x:v>Australia</x:v>
      </x:c>
      <x:c r="G45" s="47" t="str">
        <x:v>ANZ</x:v>
      </x:c>
      <x:c r="H45" s="47" t="str">
        <x:v>Enterprise</x:v>
      </x:c>
      <x:c r="I45" s="44" t="n">
        <x:v>560</x:v>
      </x:c>
      <x:c r="J45" s="42" t="n">
        <x:v>46303</x:v>
      </x:c>
      <x:c r="K45" s="48" t="str">
        <x:v>Ready</x:v>
      </x:c>
    </x:row>
    <x:row r="46">
      <x:c r="A46" s="46" t="str">
        <x:v>ZV-1042</x:v>
      </x:c>
      <x:c r="B46" s="47" t="str">
        <x:v>Skyline Events</x:v>
      </x:c>
      <x:c r="C46" s="47" t="str">
        <x:v>skylineevents.com.au</x:v>
      </x:c>
      <x:c r="D46" s="47" t="str">
        <x:v>Noah Chen</x:v>
      </x:c>
      <x:c r="E46" s="47" t="str">
        <x:v>noah.chen@skylineevents.com.au</x:v>
      </x:c>
      <x:c r="F46" s="47" t="str">
        <x:v>Australia</x:v>
      </x:c>
      <x:c r="G46" s="47" t="str">
        <x:v>ANZ</x:v>
      </x:c>
      <x:c r="H46" s="47" t="str">
        <x:v>Standard</x:v>
      </x:c>
      <x:c r="I46" s="44" t="n">
        <x:v>255</x:v>
      </x:c>
      <x:c r="J46" s="42" t="n">
        <x:v>46310</x:v>
      </x:c>
      <x:c r="K46" s="48" t="str">
        <x:v>Ready</x:v>
      </x:c>
    </x:row>
    <x:row r="47">
      <x:c r="A47" s="46" t="str">
        <x:v>ZV-1043</x:v>
      </x:c>
      <x:c r="B47" s="47" t="str">
        <x:v>TrueNorth Consulting</x:v>
      </x:c>
      <x:c r="C47" s="47" t="str">
        <x:v>truenorthconsulting.com.au</x:v>
      </x:c>
      <x:c r="D47" s="47" t="str">
        <x:v>Mia Wilson</x:v>
      </x:c>
      <x:c r="E47" s="47" t="str">
        <x:v>mia.wilson@truenorthconsulting.com.au</x:v>
      </x:c>
      <x:c r="F47" s="47" t="str">
        <x:v>Australia</x:v>
      </x:c>
      <x:c r="G47" s="47" t="str">
        <x:v>ANZ</x:v>
      </x:c>
      <x:c r="H47" s="47" t="str">
        <x:v>Standard</x:v>
      </x:c>
      <x:c r="I47" s="44" t="n">
        <x:v>360</x:v>
      </x:c>
      <x:c r="J47" s="42" t="n">
        <x:v>46317</x:v>
      </x:c>
      <x:c r="K47" s="48" t="str">
        <x:v>Ready</x:v>
      </x:c>
    </x:row>
    <x:row r="48">
      <x:c r="A48" s="46" t="str">
        <x:v>ZV-1044</x:v>
      </x:c>
      <x:c r="B48" s="47" t="str">
        <x:v>Willow Foods</x:v>
      </x:c>
      <x:c r="C48" s="47" t="str">
        <x:v>willowfoods.com.au</x:v>
      </x:c>
      <x:c r="D48" s="47" t="str">
        <x:v>Ethan Brown</x:v>
      </x:c>
      <x:c r="E48" s="47" t="str">
        <x:v>ethan.brown@willowfoods.com.au</x:v>
      </x:c>
      <x:c r="F48" s="47" t="str">
        <x:v>Australia</x:v>
      </x:c>
      <x:c r="G48" s="47" t="str">
        <x:v>ANZ</x:v>
      </x:c>
      <x:c r="H48" s="47" t="str">
        <x:v>Standard</x:v>
      </x:c>
      <x:c r="I48" s="44" t="n">
        <x:v>285</x:v>
      </x:c>
      <x:c r="J48" s="42" t="n">
        <x:v>46324</x:v>
      </x:c>
      <x:c r="K48" s="48" t="str">
        <x:v>Planned</x:v>
      </x:c>
    </x:row>
    <x:row r="49">
      <x:c r="A49" s="46" t="str">
        <x:v>ZV-1045</x:v>
      </x:c>
      <x:c r="B49" s="47" t="str">
        <x:v>Northstar Retail</x:v>
      </x:c>
      <x:c r="C49" s="47" t="str">
        <x:v>northstarretail.com</x:v>
      </x:c>
      <x:c r="D49" s="47" t="str">
        <x:v>Alex Lee</x:v>
      </x:c>
      <x:c r="E49" s="47" t="str">
        <x:v>alex.lee@northstarretail.com</x:v>
      </x:c>
      <x:c r="F49" s="47" t="str">
        <x:v>Australia</x:v>
      </x:c>
      <x:c r="G49" s="47" t="str">
        <x:v>ANZ</x:v>
      </x:c>
      <x:c r="H49" s="47" t="str">
        <x:v>Enterprise</x:v>
      </x:c>
      <x:c r="I49" s="44" t="n">
        <x:v>900</x:v>
      </x:c>
      <x:c r="J49" s="42" t="n">
        <x:v>46307</x:v>
      </x:c>
      <x:c r="K49" s="48" t="str">
        <x:v>Ready</x:v>
      </x:c>
    </x:row>
    <x:row r="50">
      <x:c r="A50" s="46" t="str">
        <x:v>ZV-1046</x:v>
      </x:c>
      <x:c r="B50" s="47" t="str">
        <x:v>Pacifica Foods Limited</x:v>
      </x:c>
      <x:c r="C50" s="47" t="str">
        <x:v>pacificafoods.co.nz</x:v>
      </x:c>
      <x:c r="D50" s="47" t="str">
        <x:v>Liam Ng</x:v>
      </x:c>
      <x:c r="E50" s="47" t="str">
        <x:v>liam.ng@pacificafoods.co.nz</x:v>
      </x:c>
      <x:c r="F50" s="47" t="str">
        <x:v>NZ</x:v>
      </x:c>
      <x:c r="G50" s="47" t="str">
        <x:v>ANZ</x:v>
      </x:c>
      <x:c r="H50" s="47" t="str">
        <x:v>Standard</x:v>
      </x:c>
      <x:c r="I50" s="44" t="n">
        <x:v>380</x:v>
      </x:c>
      <x:c r="J50" s="42" t="n">
        <x:v>46314</x:v>
      </x:c>
      <x:c r="K50" s="48" t="str">
        <x:v>Ready</x:v>
      </x:c>
    </x:row>
    <x:row r="51">
      <x:c r="A51" s="46" t="str">
        <x:v>ZV-1047</x:v>
      </x:c>
      <x:c r="B51" s="47" t="str">
        <x:v>Coastline Health</x:v>
      </x:c>
      <x:c r="C51" s="47" t="str">
        <x:v>coastlinehealth.com.au</x:v>
      </x:c>
      <x:c r="D51" s="47" t="str">
        <x:v>Sophie Lee</x:v>
      </x:c>
      <x:c r="E51" s="47" t="str">
        <x:v>sophie.lee@coastlinehealth.com.au</x:v>
      </x:c>
      <x:c r="F51" s="47" t="str">
        <x:v>Australia</x:v>
      </x:c>
      <x:c r="G51" s="47" t="str">
        <x:v>EMEA</x:v>
      </x:c>
      <x:c r="H51" s="47" t="str">
        <x:v>Enterprise</x:v>
      </x:c>
      <x:c r="I51" s="44" t="n">
        <x:v>510</x:v>
      </x:c>
      <x:c r="J51" s="42" t="n">
        <x:v>46321</x:v>
      </x:c>
      <x:c r="K51" s="48" t="str">
        <x:v>Ready</x:v>
      </x:c>
    </x:row>
    <x:row r="52">
      <x:c r="A52" s="46" t="str">
        <x:v>ZV-1048</x:v>
      </x:c>
      <x:c r="B52" s="47" t="str">
        <x:v>Axis Logistics</x:v>
      </x:c>
      <x:c r="C52" s="47" t="str">
        <x:v>axislogistics.com.au</x:v>
      </x:c>
      <x:c r="D52" s="47" t="str">
        <x:v>Olivia Singh</x:v>
      </x:c>
      <x:c r="E52" s="47" t="str">
        <x:v>olivia.singh@axislogistics.com.au</x:v>
      </x:c>
      <x:c r="F52" s="47" t="str">
        <x:v>Australia</x:v>
      </x:c>
      <x:c r="G52" s="47" t="str">
        <x:v>ANZ</x:v>
      </x:c>
      <x:c r="H52" s="47" t="str">
        <x:v>Standard</x:v>
      </x:c>
      <x:c r="I52" s="44"/>
      <x:c r="J52" s="42" t="n">
        <x:v>46310</x:v>
      </x:c>
      <x:c r="K52" s="48" t="str">
        <x:v>Ready</x:v>
      </x:c>
    </x:row>
    <x:row r="53">
      <x:c r="A53" s="46" t="str">
        <x:v>ZV-1049</x:v>
      </x:c>
      <x:c r="B53" s="47" t="str">
        <x:v>Horizon Utilities</x:v>
      </x:c>
      <x:c r="C53" s="47" t="str">
        <x:v>horizonutilities.com.au</x:v>
      </x:c>
      <x:c r="D53" s="47" t="str">
        <x:v>Mia Wilson</x:v>
      </x:c>
      <x:c r="E53" s="47" t="str">
        <x:v>mia.wilson@horizonutilities.com.au</x:v>
      </x:c>
      <x:c r="F53" s="47" t="str">
        <x:v>Australia</x:v>
      </x:c>
      <x:c r="G53" s="47" t="str">
        <x:v>ANZ</x:v>
      </x:c>
      <x:c r="H53" s="47" t="str">
        <x:v>Enterprise</x:v>
      </x:c>
      <x:c r="I53" s="44" t="n">
        <x:v>720</x:v>
      </x:c>
      <x:c r="J53" s="42" t="n">
        <x:v>46204</x:v>
      </x:c>
      <x:c r="K53" s="48" t="str">
        <x:v>Planned</x:v>
      </x:c>
    </x:row>
    <x:row r="54">
      <x:c r="A54" s="49" t="str">
        <x:v>ZV-1050</x:v>
      </x:c>
      <x:c r="B54" s="50" t="str">
        <x:v>Greenline Media</x:v>
      </x:c>
      <x:c r="C54" s="50" t="str">
        <x:v>greenlinemedia.com.au</x:v>
      </x:c>
      <x:c r="D54" s="50" t="str">
        <x:v>External Admin</x:v>
      </x:c>
      <x:c r="E54" s="50" t="str">
        <x:v>shared.admin@consultpartner.com</x:v>
      </x:c>
      <x:c r="F54" s="50" t="str">
        <x:v>Australia</x:v>
      </x:c>
      <x:c r="G54" s="50" t="str">
        <x:v>ANZ</x:v>
      </x:c>
      <x:c r="H54" s="50" t="str">
        <x:v>Standard</x:v>
      </x:c>
      <x:c r="I54" s="51" t="n">
        <x:v>280</x:v>
      </x:c>
      <x:c r="J54" s="52" t="n">
        <x:v>46317</x:v>
      </x:c>
      <x:c r="K54" s="53" t="str">
        <x:v>Ready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45340e963e847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52" hidden="0" customWidth="1"/>
  </x:cols>
  <x:sheetData>
    <x:row r="1" ht="28" customHeight="1">
      <x:c r="A1" s="4" t="str">
        <x:v>Zava Team Challenge Pilot Model</x:v>
      </x:c>
      <x:c r="B1" s="4"/>
      <x:c r="C1" s="4"/>
      <x:c r="D1" s="4"/>
      <x:c r="E1" s="4"/>
    </x:row>
    <x:row r="2" ht="34" customHeight="1">
      <x:c r="A2" s="10" t="str">
        <x:v>Scenario: estimate whether an enterprise Team Challenge pilot is likely to meet participation and retention goals under different adoption assumptions.</x:v>
      </x:c>
      <x:c r="B2" s="10"/>
      <x:c r="C2" s="10"/>
      <x:c r="D2" s="10"/>
      <x:c r="E2" s="10"/>
    </x:row>
    <x:row r="4">
      <x:c r="A4" s="24" t="str">
        <x:v>Input</x:v>
      </x:c>
      <x:c r="B4" s="25" t="str">
        <x:v>Value</x:v>
      </x:c>
      <x:c r="C4" s="25" t="str">
        <x:v>Unit</x:v>
      </x:c>
      <x:c r="D4" s="26" t="str">
        <x:v>Meaning</x:v>
      </x:c>
    </x:row>
    <x:row r="5">
      <x:c r="A5" s="61" t="str">
        <x:v>Eligible Employees</x:v>
      </x:c>
      <x:c r="B5" s="67" t="n">
        <x:v>1800</x:v>
      </x:c>
      <x:c r="C5" s="62" t="str">
        <x:v>employees</x:v>
      </x:c>
      <x:c r="D5" s="63" t="str">
        <x:v>Total employees invited across the pilot customers</x:v>
      </x:c>
    </x:row>
    <x:row r="6">
      <x:c r="A6" s="46" t="str">
        <x:v>Base Opt-in Rate</x:v>
      </x:c>
      <x:c r="B6" s="73" t="n">
        <x:v>0.38</x:v>
      </x:c>
      <x:c r="C6" s="47" t="str">
        <x:v>% of eligible</x:v>
      </x:c>
      <x:c r="D6" s="48" t="str">
        <x:v>Expected employees who opt in</x:v>
      </x:c>
    </x:row>
    <x:row r="7">
      <x:c r="A7" s="46" t="str">
        <x:v>Week 1 Active Rate</x:v>
      </x:c>
      <x:c r="B7" s="73" t="n">
        <x:v>0.9</x:v>
      </x:c>
      <x:c r="C7" s="47" t="str">
        <x:v>% of opt-ins</x:v>
      </x:c>
      <x:c r="D7" s="48" t="str">
        <x:v>Share of opted-in employees active in week 1</x:v>
      </x:c>
    </x:row>
    <x:row r="8">
      <x:c r="A8" s="46" t="str">
        <x:v>Week 2 Active Rate</x:v>
      </x:c>
      <x:c r="B8" s="73" t="n">
        <x:v>0.72</x:v>
      </x:c>
      <x:c r="C8" s="47" t="str">
        <x:v>% of opt-ins</x:v>
      </x:c>
      <x:c r="D8" s="48" t="str">
        <x:v>Share of opted-in employees active in week 2</x:v>
      </x:c>
    </x:row>
    <x:row r="9">
      <x:c r="A9" s="46" t="str">
        <x:v>Week 3 Active Rate</x:v>
      </x:c>
      <x:c r="B9" s="73" t="n">
        <x:v>0.56</x:v>
      </x:c>
      <x:c r="C9" s="47" t="str">
        <x:v>% of opt-ins</x:v>
      </x:c>
      <x:c r="D9" s="48" t="str">
        <x:v>Share of opted-in employees active in week 3</x:v>
      </x:c>
    </x:row>
    <x:row r="10">
      <x:c r="A10" s="46" t="str">
        <x:v>Week 4 Active Rate</x:v>
      </x:c>
      <x:c r="B10" s="73" t="n">
        <x:v>0.5</x:v>
      </x:c>
      <x:c r="C10" s="47" t="str">
        <x:v>% of opt-ins</x:v>
      </x:c>
      <x:c r="D10" s="48" t="str">
        <x:v>Share of opted-in employees active in week 4</x:v>
      </x:c>
    </x:row>
    <x:row r="11">
      <x:c r="A11" s="46" t="str">
        <x:v>Week 5 Active Rate</x:v>
      </x:c>
      <x:c r="B11" s="73" t="n">
        <x:v>0.46</x:v>
      </x:c>
      <x:c r="C11" s="47" t="str">
        <x:v>% of opt-ins</x:v>
      </x:c>
      <x:c r="D11" s="48" t="str">
        <x:v>Share of opted-in employees active in week 5</x:v>
      </x:c>
    </x:row>
    <x:row r="12">
      <x:c r="A12" s="46" t="str">
        <x:v>Week 6 Active Rate</x:v>
      </x:c>
      <x:c r="B12" s="73" t="n">
        <x:v>0.43</x:v>
      </x:c>
      <x:c r="C12" s="47" t="str">
        <x:v>% of opt-ins</x:v>
      </x:c>
      <x:c r="D12" s="48" t="str">
        <x:v>Share of opted-in employees active in week 6</x:v>
      </x:c>
    </x:row>
    <x:row r="13">
      <x:c r="A13" s="46" t="str">
        <x:v>Week 6 Continuation vs Week 3</x:v>
      </x:c>
      <x:c r="B13" s="73" t="n">
        <x:v>0.76</x:v>
      </x:c>
      <x:c r="C13" s="47" t="str">
        <x:v>%</x:v>
      </x:c>
      <x:c r="D13" s="48" t="str">
        <x:v>Used for the sensitivity model</x:v>
      </x:c>
    </x:row>
    <x:row r="14">
      <x:c r="A14" s="46" t="str">
        <x:v>Avg Sessions / Active User / Week</x:v>
      </x:c>
      <x:c r="B14" s="77" t="n">
        <x:v>2.4</x:v>
      </x:c>
      <x:c r="C14" s="47" t="str">
        <x:v>sessions</x:v>
      </x:c>
      <x:c r="D14" s="48" t="str">
        <x:v>Average challenge sessions per active participant</x:v>
      </x:c>
    </x:row>
    <x:row r="15">
      <x:c r="A15" s="46" t="str">
        <x:v>Support Tickets / 100 Active Users</x:v>
      </x:c>
      <x:c r="B15" s="77" t="n">
        <x:v>3.2</x:v>
      </x:c>
      <x:c r="C15" s="47" t="str">
        <x:v>tickets</x:v>
      </x:c>
      <x:c r="D15" s="48" t="str">
        <x:v>Expected support volume</x:v>
      </x:c>
    </x:row>
    <x:row r="16">
      <x:c r="A16" s="46" t="str">
        <x:v>Target Opt-in Rate</x:v>
      </x:c>
      <x:c r="B16" s="73" t="n">
        <x:v>0.35</x:v>
      </x:c>
      <x:c r="C16" s="47" t="str">
        <x:v>%</x:v>
      </x:c>
      <x:c r="D16" s="48" t="str">
        <x:v>Pilot success threshold</x:v>
      </x:c>
    </x:row>
    <x:row r="17">
      <x:c r="A17" s="49" t="str">
        <x:v>Target Week 3 Retention</x:v>
      </x:c>
      <x:c r="B17" s="75" t="n">
        <x:v>0.5</x:v>
      </x:c>
      <x:c r="C17" s="50" t="str">
        <x:v>%</x:v>
      </x:c>
      <x:c r="D17" s="53" t="str">
        <x:v>Pilot success threshold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</x:cols>
  <x:sheetData>
    <x:row r="1" ht="28" customHeight="1">
      <x:c r="A1" s="4" t="str">
        <x:v>Team Challenge Weekly Participation Projection</x:v>
      </x:c>
      <x:c r="B1" s="4"/>
      <x:c r="C1" s="4"/>
      <x:c r="D1" s="4"/>
      <x:c r="E1" s="4"/>
      <x:c r="F1" s="4"/>
    </x:row>
    <x:row r="2" ht="34" customHeight="1">
      <x:c r="A2" s="10" t="str">
        <x:v>The model uses the assumptions tab to estimate active participants, sessions and support load across six weeks.</x:v>
      </x:c>
      <x:c r="B2" s="10"/>
      <x:c r="C2" s="10"/>
      <x:c r="D2" s="10"/>
      <x:c r="E2" s="10"/>
      <x:c r="F2" s="10"/>
    </x:row>
    <x:row r="4">
      <x:c r="A4" s="24" t="str">
        <x:v>Week</x:v>
      </x:c>
      <x:c r="B4" s="25" t="str">
        <x:v>Active Rate of Opt-ins</x:v>
      </x:c>
      <x:c r="C4" s="25" t="str">
        <x:v>Opted-in Employees</x:v>
      </x:c>
      <x:c r="D4" s="25" t="str">
        <x:v>Active Participants</x:v>
      </x:c>
      <x:c r="E4" s="25" t="str">
        <x:v>Projected Sessions</x:v>
      </x:c>
      <x:c r="F4" s="26" t="str">
        <x:v>Projected Support Tickets</x:v>
      </x:c>
    </x:row>
    <x:row r="5">
      <x:c r="A5" s="46" t="n">
        <x:v>1</x:v>
      </x:c>
      <x:c r="B5" s="79" t="n">
        <x:v>0.9</x:v>
      </x:c>
      <x:c r="C5" s="44" t="n">
        <x:f>'02 Pilot Assumptions'!$B$5*'02 Pilot Assumptions'!$B$6</x:f>
        <x:v>684</x:v>
      </x:c>
      <x:c r="D5" s="44" t="n">
        <x:f>C5*B5</x:f>
        <x:v>615.6</x:v>
      </x:c>
      <x:c r="E5" s="44" t="n">
        <x:f>D5*'02 Pilot Assumptions'!$B$14</x:f>
        <x:v>1477.44</x:v>
      </x:c>
      <x:c r="F5" s="81" t="n">
        <x:f>D5*'02 Pilot Assumptions'!$B$15/100</x:f>
        <x:v>19.6992</x:v>
      </x:c>
    </x:row>
    <x:row r="6">
      <x:c r="A6" s="46" t="n">
        <x:v>2</x:v>
      </x:c>
      <x:c r="B6" s="79" t="n">
        <x:v>0.72</x:v>
      </x:c>
      <x:c r="C6" s="44" t="n">
        <x:f>'02 Pilot Assumptions'!$B$5*'02 Pilot Assumptions'!$B$6</x:f>
        <x:v>684</x:v>
      </x:c>
      <x:c r="D6" s="44" t="n">
        <x:f>C6*B6</x:f>
        <x:v>492.47999999999996</x:v>
      </x:c>
      <x:c r="E6" s="44" t="n">
        <x:f>D6*'02 Pilot Assumptions'!$B$14</x:f>
        <x:v>1181.9519999999998</x:v>
      </x:c>
      <x:c r="F6" s="81" t="n">
        <x:f>D6*'02 Pilot Assumptions'!$B$15/100</x:f>
        <x:v>15.75936</x:v>
      </x:c>
    </x:row>
    <x:row r="7">
      <x:c r="A7" s="46" t="n">
        <x:v>3</x:v>
      </x:c>
      <x:c r="B7" s="79" t="n">
        <x:v>0.56</x:v>
      </x:c>
      <x:c r="C7" s="44" t="n">
        <x:f>'02 Pilot Assumptions'!$B$5*'02 Pilot Assumptions'!$B$6</x:f>
        <x:v>684</x:v>
      </x:c>
      <x:c r="D7" s="44" t="n">
        <x:f>C7*B7</x:f>
        <x:v>383.04</x:v>
      </x:c>
      <x:c r="E7" s="44" t="n">
        <x:f>D7*'02 Pilot Assumptions'!$B$14</x:f>
        <x:v>919.296</x:v>
      </x:c>
      <x:c r="F7" s="81" t="n">
        <x:f>D7*'02 Pilot Assumptions'!$B$15/100</x:f>
        <x:v>12.257280000000002</x:v>
      </x:c>
    </x:row>
    <x:row r="8">
      <x:c r="A8" s="46" t="n">
        <x:v>4</x:v>
      </x:c>
      <x:c r="B8" s="79" t="n">
        <x:v>0.5</x:v>
      </x:c>
      <x:c r="C8" s="44" t="n">
        <x:f>'02 Pilot Assumptions'!$B$5*'02 Pilot Assumptions'!$B$6</x:f>
        <x:v>684</x:v>
      </x:c>
      <x:c r="D8" s="44" t="n">
        <x:f>C8*B8</x:f>
        <x:v>342</x:v>
      </x:c>
      <x:c r="E8" s="44" t="n">
        <x:f>D8*'02 Pilot Assumptions'!$B$14</x:f>
        <x:v>820.8</x:v>
      </x:c>
      <x:c r="F8" s="81" t="n">
        <x:f>D8*'02 Pilot Assumptions'!$B$15/100</x:f>
        <x:v>10.944</x:v>
      </x:c>
    </x:row>
    <x:row r="9">
      <x:c r="A9" s="46" t="n">
        <x:v>5</x:v>
      </x:c>
      <x:c r="B9" s="79" t="n">
        <x:v>0.46</x:v>
      </x:c>
      <x:c r="C9" s="44" t="n">
        <x:f>'02 Pilot Assumptions'!$B$5*'02 Pilot Assumptions'!$B$6</x:f>
        <x:v>684</x:v>
      </x:c>
      <x:c r="D9" s="44" t="n">
        <x:f>C9*B9</x:f>
        <x:v>314.64</x:v>
      </x:c>
      <x:c r="E9" s="44" t="n">
        <x:f>D9*'02 Pilot Assumptions'!$B$14</x:f>
        <x:v>755.136</x:v>
      </x:c>
      <x:c r="F9" s="81" t="n">
        <x:f>D9*'02 Pilot Assumptions'!$B$15/100</x:f>
        <x:v>10.06848</x:v>
      </x:c>
    </x:row>
    <x:row r="10">
      <x:c r="A10" s="49" t="n">
        <x:v>6</x:v>
      </x:c>
      <x:c r="B10" s="82" t="n">
        <x:v>0.43</x:v>
      </x:c>
      <x:c r="C10" s="51" t="n">
        <x:f>'02 Pilot Assumptions'!$B$5*'02 Pilot Assumptions'!$B$6</x:f>
        <x:v>684</x:v>
      </x:c>
      <x:c r="D10" s="51" t="n">
        <x:f>C10*B10</x:f>
        <x:v>294.12</x:v>
      </x:c>
      <x:c r="E10" s="51" t="n">
        <x:f>D10*'02 Pilot Assumptions'!$B$14</x:f>
        <x:v>705.888</x:v>
      </x:c>
      <x:c r="F10" s="83" t="n">
        <x:f>D10*'02 Pilot Assumptions'!$B$15/100</x:f>
        <x:v>9.411840000000002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Team Challenge Scenario Sensitivity</x:v>
      </x:c>
      <x:c r="B1" s="4"/>
      <x:c r="C1" s="4"/>
      <x:c r="D1" s="4"/>
      <x:c r="E1" s="4"/>
      <x:c r="F1" s="4"/>
      <x:c r="G1" s="4"/>
    </x:row>
    <x:row r="2" ht="34" customHeight="1">
      <x:c r="A2" s="10" t="str">
        <x:v>Use Copilot to populate the tables with formulas linked to the assumptions. Rows are opt-in rates; columns are week-3 retention rates.</x:v>
      </x:c>
      <x:c r="B2" s="10"/>
      <x:c r="C2" s="10"/>
      <x:c r="D2" s="10"/>
      <x:c r="E2" s="10"/>
      <x:c r="F2" s="10"/>
      <x:c r="G2" s="10"/>
    </x:row>
    <x:row r="4">
      <x:c r="A4" s="88" t="str">
        <x:v>Week 3 Active Participants</x:v>
      </x:c>
      <x:c r="B4" s="88" t="str"/>
      <x:c r="C4" s="88" t="str"/>
      <x:c r="D4" s="88" t="str"/>
      <x:c r="E4" s="88" t="str"/>
      <x:c r="F4" s="88" t="str"/>
    </x:row>
    <x:row r="5">
      <x:c r="A5" s="24" t="str">
        <x:v>Opt-in ↓ / Week 3 retention →</x:v>
      </x:c>
      <x:c r="B5" s="91" t="n">
        <x:v>0.45</x:v>
      </x:c>
      <x:c r="C5" s="91" t="n">
        <x:v>0.5</x:v>
      </x:c>
      <x:c r="D5" s="91" t="n">
        <x:v>0.55</x:v>
      </x:c>
      <x:c r="E5" s="91" t="n">
        <x:v>0.6</x:v>
      </x:c>
      <x:c r="F5" s="92" t="n">
        <x:v>0.65</x:v>
      </x:c>
    </x:row>
    <x:row r="6">
      <x:c r="A6" s="95" t="n">
        <x:v>0.3</x:v>
      </x:c>
      <x:c r="B6" s="47"/>
      <x:c r="C6" s="47"/>
      <x:c r="D6" s="47"/>
      <x:c r="E6" s="47"/>
      <x:c r="F6" s="48"/>
    </x:row>
    <x:row r="7">
      <x:c r="A7" s="95" t="n">
        <x:v>0.35</x:v>
      </x:c>
      <x:c r="B7" s="47"/>
      <x:c r="C7" s="47"/>
      <x:c r="D7" s="47"/>
      <x:c r="E7" s="47"/>
      <x:c r="F7" s="48"/>
    </x:row>
    <x:row r="8">
      <x:c r="A8" s="95" t="n">
        <x:v>0.4</x:v>
      </x:c>
      <x:c r="B8" s="47"/>
      <x:c r="C8" s="47"/>
      <x:c r="D8" s="47"/>
      <x:c r="E8" s="47"/>
      <x:c r="F8" s="48"/>
    </x:row>
    <x:row r="9">
      <x:c r="A9" s="95" t="n">
        <x:v>0.45</x:v>
      </x:c>
      <x:c r="B9" s="47"/>
      <x:c r="C9" s="47"/>
      <x:c r="D9" s="47"/>
      <x:c r="E9" s="47"/>
      <x:c r="F9" s="48"/>
    </x:row>
    <x:row r="10">
      <x:c r="A10" s="96" t="n">
        <x:v>0.5</x:v>
      </x:c>
      <x:c r="B10" s="50"/>
      <x:c r="C10" s="50"/>
      <x:c r="D10" s="50"/>
      <x:c r="E10" s="50"/>
      <x:c r="F10" s="53"/>
    </x:row>
    <x:row r="13">
      <x:c r="A13" s="88" t="str">
        <x:v>Week 6 Completions</x:v>
      </x:c>
      <x:c r="B13" s="88" t="str"/>
      <x:c r="C13" s="88" t="str"/>
      <x:c r="D13" s="88" t="str"/>
      <x:c r="E13" s="88" t="str"/>
      <x:c r="F13" s="88" t="str"/>
    </x:row>
    <x:row r="14">
      <x:c r="A14" s="24" t="str">
        <x:v>Opt-in ↓ / Week 3 retention →</x:v>
      </x:c>
      <x:c r="B14" s="91" t="n">
        <x:v>0.45</x:v>
      </x:c>
      <x:c r="C14" s="91" t="n">
        <x:v>0.5</x:v>
      </x:c>
      <x:c r="D14" s="91" t="n">
        <x:v>0.55</x:v>
      </x:c>
      <x:c r="E14" s="91" t="n">
        <x:v>0.6</x:v>
      </x:c>
      <x:c r="F14" s="92" t="n">
        <x:v>0.65</x:v>
      </x:c>
    </x:row>
    <x:row r="15">
      <x:c r="A15" s="95" t="n">
        <x:v>0.3</x:v>
      </x:c>
      <x:c r="B15" s="47"/>
      <x:c r="C15" s="47"/>
      <x:c r="D15" s="47"/>
      <x:c r="E15" s="47"/>
      <x:c r="F15" s="48"/>
    </x:row>
    <x:row r="16">
      <x:c r="A16" s="95" t="n">
        <x:v>0.35</x:v>
      </x:c>
      <x:c r="B16" s="47"/>
      <x:c r="C16" s="47"/>
      <x:c r="D16" s="47"/>
      <x:c r="E16" s="47"/>
      <x:c r="F16" s="48"/>
    </x:row>
    <x:row r="17">
      <x:c r="A17" s="95" t="n">
        <x:v>0.4</x:v>
      </x:c>
      <x:c r="B17" s="47"/>
      <x:c r="C17" s="47"/>
      <x:c r="D17" s="47"/>
      <x:c r="E17" s="47"/>
      <x:c r="F17" s="48"/>
    </x:row>
    <x:row r="18">
      <x:c r="A18" s="95" t="n">
        <x:v>0.45</x:v>
      </x:c>
      <x:c r="B18" s="47"/>
      <x:c r="C18" s="47"/>
      <x:c r="D18" s="47"/>
      <x:c r="E18" s="47"/>
      <x:c r="F18" s="48"/>
    </x:row>
    <x:row r="19">
      <x:c r="A19" s="96" t="n">
        <x:v>0.5</x:v>
      </x:c>
      <x:c r="B19" s="50"/>
      <x:c r="C19" s="50"/>
      <x:c r="D19" s="50"/>
      <x:c r="E19" s="50"/>
      <x:c r="F19" s="53"/>
    </x:row>
    <x:row r="22">
      <x:c r="A22" s="10" t="str">
        <x:v>Copilot commentary goes here in the live demo.</x:v>
      </x:c>
      <x:c r="B22" s="10"/>
      <x:c r="C22" s="10"/>
      <x:c r="D22" s="10"/>
      <x:c r="E22" s="10"/>
      <x:c r="F22" s="10"/>
    </x:row>
  </x:sheetData>
  <x:mergeCells>
    <x:mergeCell ref="A1:G1"/>
    <x:mergeCell ref="A2:G2"/>
    <x:mergeCell ref="A4:F4"/>
    <x:mergeCell ref="A13:F13"/>
    <x:mergeCell ref="A22:F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6" hidden="0" customWidth="1"/>
    <x:col min="5" max="5" width="10" hidden="0" customWidth="1"/>
    <x:col min="6" max="6" width="10" hidden="0" customWidth="1"/>
    <x:col min="7" max="7" width="20" hidden="0" customWidth="1"/>
    <x:col min="8" max="8" width="12" hidden="0" customWidth="1"/>
  </x:cols>
  <x:sheetData>
    <x:row r="1" ht="28" customHeight="1">
      <x:c r="A1" s="4" t="str">
        <x:v>Zava Member Activity Log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Scenario: use Copilot to generate monthly summary formulas for program engagement without manually writing SUMIFS or COUNTIFS.</x:v>
      </x:c>
      <x:c r="B2" s="10"/>
      <x:c r="C2" s="10"/>
      <x:c r="D2" s="10"/>
      <x:c r="E2" s="10"/>
      <x:c r="F2" s="10"/>
      <x:c r="G2" s="10"/>
      <x:c r="H2" s="10"/>
    </x:row>
    <x:row r="4">
      <x:c r="A4" s="24" t="str">
        <x:v>Activity Date</x:v>
      </x:c>
      <x:c r="B4" s="25" t="str">
        <x:v>Member ID</x:v>
      </x:c>
      <x:c r="C4" s="25" t="str">
        <x:v>Region</x:v>
      </x:c>
      <x:c r="D4" s="25" t="str">
        <x:v>Program</x:v>
      </x:c>
      <x:c r="E4" s="25" t="str">
        <x:v>Sessions</x:v>
      </x:c>
      <x:c r="F4" s="25" t="str">
        <x:v>Minutes</x:v>
      </x:c>
      <x:c r="G4" s="25" t="str">
        <x:v>Challenge Completed</x:v>
      </x:c>
      <x:c r="H4" s="26" t="str">
        <x:v>Device</x:v>
      </x:c>
    </x:row>
    <x:row r="5">
      <x:c r="A5" s="99" t="n">
        <x:v>46235</x:v>
      </x:c>
      <x:c r="B5" s="47" t="str">
        <x:v>M-2001</x:v>
      </x:c>
      <x:c r="C5" s="47" t="str">
        <x:v>NSW</x:v>
      </x:c>
      <x:c r="D5" s="47" t="str">
        <x:v>Cardio</x:v>
      </x:c>
      <x:c r="E5" s="47" t="n">
        <x:v>1</x:v>
      </x:c>
      <x:c r="F5" s="47" t="n">
        <x:v>18</x:v>
      </x:c>
      <x:c r="G5" s="47" t="str">
        <x:v>No</x:v>
      </x:c>
      <x:c r="H5" s="48" t="str">
        <x:v>iOS</x:v>
      </x:c>
    </x:row>
    <x:row r="6">
      <x:c r="A6" s="99" t="n">
        <x:v>46237</x:v>
      </x:c>
      <x:c r="B6" s="47" t="str">
        <x:v>M-2002</x:v>
      </x:c>
      <x:c r="C6" s="47" t="str">
        <x:v>NZ</x:v>
      </x:c>
      <x:c r="D6" s="47" t="str">
        <x:v>Strength</x:v>
      </x:c>
      <x:c r="E6" s="47" t="n">
        <x:v>2</x:v>
      </x:c>
      <x:c r="F6" s="47" t="n">
        <x:v>42</x:v>
      </x:c>
      <x:c r="G6" s="47" t="str">
        <x:v>Yes</x:v>
      </x:c>
      <x:c r="H6" s="48" t="str">
        <x:v>Web</x:v>
      </x:c>
    </x:row>
    <x:row r="7">
      <x:c r="A7" s="99" t="n">
        <x:v>46239</x:v>
      </x:c>
      <x:c r="B7" s="47" t="str">
        <x:v>M-2003</x:v>
      </x:c>
      <x:c r="C7" s="47" t="str">
        <x:v>QLD</x:v>
      </x:c>
      <x:c r="D7" s="47" t="str">
        <x:v>Mobility</x:v>
      </x:c>
      <x:c r="E7" s="47" t="n">
        <x:v>3</x:v>
      </x:c>
      <x:c r="F7" s="47" t="n">
        <x:v>72</x:v>
      </x:c>
      <x:c r="G7" s="47" t="str">
        <x:v>Yes</x:v>
      </x:c>
      <x:c r="H7" s="48" t="str">
        <x:v>Android</x:v>
      </x:c>
    </x:row>
    <x:row r="8">
      <x:c r="A8" s="99" t="n">
        <x:v>46241</x:v>
      </x:c>
      <x:c r="B8" s="47" t="str">
        <x:v>M-2004</x:v>
      </x:c>
      <x:c r="C8" s="47" t="str">
        <x:v>VIC</x:v>
      </x:c>
      <x:c r="D8" s="47" t="str">
        <x:v>Mindfulness</x:v>
      </x:c>
      <x:c r="E8" s="47" t="n">
        <x:v>4</x:v>
      </x:c>
      <x:c r="F8" s="47" t="n">
        <x:v>108</x:v>
      </x:c>
      <x:c r="G8" s="47" t="str">
        <x:v>Yes</x:v>
      </x:c>
      <x:c r="H8" s="48" t="str">
        <x:v>iOS</x:v>
      </x:c>
    </x:row>
    <x:row r="9">
      <x:c r="A9" s="99" t="n">
        <x:v>46243</x:v>
      </x:c>
      <x:c r="B9" s="47" t="str">
        <x:v>M-2005</x:v>
      </x:c>
      <x:c r="C9" s="47" t="str">
        <x:v>NSW</x:v>
      </x:c>
      <x:c r="D9" s="47" t="str">
        <x:v>Cardio</x:v>
      </x:c>
      <x:c r="E9" s="47" t="n">
        <x:v>1</x:v>
      </x:c>
      <x:c r="F9" s="47" t="n">
        <x:v>30</x:v>
      </x:c>
      <x:c r="G9" s="47" t="str">
        <x:v>Yes</x:v>
      </x:c>
      <x:c r="H9" s="48" t="str">
        <x:v>Web</x:v>
      </x:c>
    </x:row>
    <x:row r="10">
      <x:c r="A10" s="99" t="n">
        <x:v>46245</x:v>
      </x:c>
      <x:c r="B10" s="47" t="str">
        <x:v>M-2006</x:v>
      </x:c>
      <x:c r="C10" s="47" t="str">
        <x:v>NZ</x:v>
      </x:c>
      <x:c r="D10" s="47" t="str">
        <x:v>Strength</x:v>
      </x:c>
      <x:c r="E10" s="47" t="n">
        <x:v>2</x:v>
      </x:c>
      <x:c r="F10" s="47" t="n">
        <x:v>66</x:v>
      </x:c>
      <x:c r="G10" s="47" t="str">
        <x:v>No</x:v>
      </x:c>
      <x:c r="H10" s="48" t="str">
        <x:v>Android</x:v>
      </x:c>
    </x:row>
    <x:row r="11">
      <x:c r="A11" s="99" t="n">
        <x:v>46247</x:v>
      </x:c>
      <x:c r="B11" s="47" t="str">
        <x:v>M-2007</x:v>
      </x:c>
      <x:c r="C11" s="47" t="str">
        <x:v>QLD</x:v>
      </x:c>
      <x:c r="D11" s="47" t="str">
        <x:v>Mobility</x:v>
      </x:c>
      <x:c r="E11" s="47" t="n">
        <x:v>3</x:v>
      </x:c>
      <x:c r="F11" s="47" t="n">
        <x:v>108</x:v>
      </x:c>
      <x:c r="G11" s="47" t="str">
        <x:v>Yes</x:v>
      </x:c>
      <x:c r="H11" s="48" t="str">
        <x:v>iOS</x:v>
      </x:c>
    </x:row>
    <x:row r="12">
      <x:c r="A12" s="99" t="n">
        <x:v>46249</x:v>
      </x:c>
      <x:c r="B12" s="47" t="str">
        <x:v>M-2008</x:v>
      </x:c>
      <x:c r="C12" s="47" t="str">
        <x:v>VIC</x:v>
      </x:c>
      <x:c r="D12" s="47" t="str">
        <x:v>Mindfulness</x:v>
      </x:c>
      <x:c r="E12" s="47" t="n">
        <x:v>4</x:v>
      </x:c>
      <x:c r="F12" s="47" t="n">
        <x:v>72</x:v>
      </x:c>
      <x:c r="G12" s="47" t="str">
        <x:v>Yes</x:v>
      </x:c>
      <x:c r="H12" s="48" t="str">
        <x:v>Web</x:v>
      </x:c>
    </x:row>
    <x:row r="13">
      <x:c r="A13" s="99" t="n">
        <x:v>46251</x:v>
      </x:c>
      <x:c r="B13" s="47" t="str">
        <x:v>M-2009</x:v>
      </x:c>
      <x:c r="C13" s="47" t="str">
        <x:v>NSW</x:v>
      </x:c>
      <x:c r="D13" s="47" t="str">
        <x:v>Cardio</x:v>
      </x:c>
      <x:c r="E13" s="47" t="n">
        <x:v>1</x:v>
      </x:c>
      <x:c r="F13" s="47" t="n">
        <x:v>21</x:v>
      </x:c>
      <x:c r="G13" s="47" t="str">
        <x:v>Yes</x:v>
      </x:c>
      <x:c r="H13" s="48" t="str">
        <x:v>Android</x:v>
      </x:c>
    </x:row>
    <x:row r="14">
      <x:c r="A14" s="99" t="n">
        <x:v>46253</x:v>
      </x:c>
      <x:c r="B14" s="47" t="str">
        <x:v>M-2010</x:v>
      </x:c>
      <x:c r="C14" s="47" t="str">
        <x:v>NZ</x:v>
      </x:c>
      <x:c r="D14" s="47" t="str">
        <x:v>Strength</x:v>
      </x:c>
      <x:c r="E14" s="47" t="n">
        <x:v>2</x:v>
      </x:c>
      <x:c r="F14" s="47" t="n">
        <x:v>48</x:v>
      </x:c>
      <x:c r="G14" s="47" t="str">
        <x:v>Yes</x:v>
      </x:c>
      <x:c r="H14" s="48" t="str">
        <x:v>iOS</x:v>
      </x:c>
    </x:row>
    <x:row r="15">
      <x:c r="A15" s="99" t="n">
        <x:v>46255</x:v>
      </x:c>
      <x:c r="B15" s="47" t="str">
        <x:v>M-2011</x:v>
      </x:c>
      <x:c r="C15" s="47" t="str">
        <x:v>QLD</x:v>
      </x:c>
      <x:c r="D15" s="47" t="str">
        <x:v>Mobility</x:v>
      </x:c>
      <x:c r="E15" s="47" t="n">
        <x:v>3</x:v>
      </x:c>
      <x:c r="F15" s="47" t="n">
        <x:v>81</x:v>
      </x:c>
      <x:c r="G15" s="47" t="str">
        <x:v>No</x:v>
      </x:c>
      <x:c r="H15" s="48" t="str">
        <x:v>Web</x:v>
      </x:c>
    </x:row>
    <x:row r="16">
      <x:c r="A16" s="99" t="n">
        <x:v>46257</x:v>
      </x:c>
      <x:c r="B16" s="47" t="str">
        <x:v>M-2012</x:v>
      </x:c>
      <x:c r="C16" s="47" t="str">
        <x:v>VIC</x:v>
      </x:c>
      <x:c r="D16" s="47" t="str">
        <x:v>Mindfulness</x:v>
      </x:c>
      <x:c r="E16" s="47" t="n">
        <x:v>4</x:v>
      </x:c>
      <x:c r="F16" s="47" t="n">
        <x:v>120</x:v>
      </x:c>
      <x:c r="G16" s="47" t="str">
        <x:v>Yes</x:v>
      </x:c>
      <x:c r="H16" s="48" t="str">
        <x:v>Android</x:v>
      </x:c>
    </x:row>
    <x:row r="17">
      <x:c r="A17" s="99" t="n">
        <x:v>46259</x:v>
      </x:c>
      <x:c r="B17" s="47" t="str">
        <x:v>M-2013</x:v>
      </x:c>
      <x:c r="C17" s="47" t="str">
        <x:v>NSW</x:v>
      </x:c>
      <x:c r="D17" s="47" t="str">
        <x:v>Cardio</x:v>
      </x:c>
      <x:c r="E17" s="47" t="n">
        <x:v>1</x:v>
      </x:c>
      <x:c r="F17" s="47" t="n">
        <x:v>33</x:v>
      </x:c>
      <x:c r="G17" s="47" t="str">
        <x:v>Yes</x:v>
      </x:c>
      <x:c r="H17" s="48" t="str">
        <x:v>iOS</x:v>
      </x:c>
    </x:row>
    <x:row r="18">
      <x:c r="A18" s="99" t="n">
        <x:v>46261</x:v>
      </x:c>
      <x:c r="B18" s="47" t="str">
        <x:v>M-2014</x:v>
      </x:c>
      <x:c r="C18" s="47" t="str">
        <x:v>NZ</x:v>
      </x:c>
      <x:c r="D18" s="47" t="str">
        <x:v>Strength</x:v>
      </x:c>
      <x:c r="E18" s="47" t="n">
        <x:v>2</x:v>
      </x:c>
      <x:c r="F18" s="47" t="n">
        <x:v>72</x:v>
      </x:c>
      <x:c r="G18" s="47" t="str">
        <x:v>Yes</x:v>
      </x:c>
      <x:c r="H18" s="48" t="str">
        <x:v>Web</x:v>
      </x:c>
    </x:row>
    <x:row r="19">
      <x:c r="A19" s="99" t="n">
        <x:v>46263</x:v>
      </x:c>
      <x:c r="B19" s="47" t="str">
        <x:v>M-2015</x:v>
      </x:c>
      <x:c r="C19" s="47" t="str">
        <x:v>QLD</x:v>
      </x:c>
      <x:c r="D19" s="47" t="str">
        <x:v>Mobility</x:v>
      </x:c>
      <x:c r="E19" s="47" t="n">
        <x:v>3</x:v>
      </x:c>
      <x:c r="F19" s="47" t="n">
        <x:v>54</x:v>
      </x:c>
      <x:c r="G19" s="47" t="str">
        <x:v>Yes</x:v>
      </x:c>
      <x:c r="H19" s="48" t="str">
        <x:v>Android</x:v>
      </x:c>
    </x:row>
    <x:row r="20">
      <x:c r="A20" s="99" t="n">
        <x:v>46265</x:v>
      </x:c>
      <x:c r="B20" s="47" t="str">
        <x:v>M-2016</x:v>
      </x:c>
      <x:c r="C20" s="47" t="str">
        <x:v>VIC</x:v>
      </x:c>
      <x:c r="D20" s="47" t="str">
        <x:v>Mindfulness</x:v>
      </x:c>
      <x:c r="E20" s="47" t="n">
        <x:v>4</x:v>
      </x:c>
      <x:c r="F20" s="47" t="n">
        <x:v>84</x:v>
      </x:c>
      <x:c r="G20" s="47" t="str">
        <x:v>No</x:v>
      </x:c>
      <x:c r="H20" s="48" t="str">
        <x:v>iOS</x:v>
      </x:c>
    </x:row>
    <x:row r="21">
      <x:c r="A21" s="99" t="n">
        <x:v>46267</x:v>
      </x:c>
      <x:c r="B21" s="47" t="str">
        <x:v>M-2017</x:v>
      </x:c>
      <x:c r="C21" s="47" t="str">
        <x:v>NSW</x:v>
      </x:c>
      <x:c r="D21" s="47" t="str">
        <x:v>Cardio</x:v>
      </x:c>
      <x:c r="E21" s="47" t="n">
        <x:v>1</x:v>
      </x:c>
      <x:c r="F21" s="47" t="n">
        <x:v>24</x:v>
      </x:c>
      <x:c r="G21" s="47" t="str">
        <x:v>Yes</x:v>
      </x:c>
      <x:c r="H21" s="48" t="str">
        <x:v>Web</x:v>
      </x:c>
    </x:row>
    <x:row r="22">
      <x:c r="A22" s="99" t="n">
        <x:v>46269</x:v>
      </x:c>
      <x:c r="B22" s="47" t="str">
        <x:v>M-2018</x:v>
      </x:c>
      <x:c r="C22" s="47" t="str">
        <x:v>NZ</x:v>
      </x:c>
      <x:c r="D22" s="47" t="str">
        <x:v>Strength</x:v>
      </x:c>
      <x:c r="E22" s="47" t="n">
        <x:v>2</x:v>
      </x:c>
      <x:c r="F22" s="47" t="n">
        <x:v>54</x:v>
      </x:c>
      <x:c r="G22" s="47" t="str">
        <x:v>Yes</x:v>
      </x:c>
      <x:c r="H22" s="48" t="str">
        <x:v>Android</x:v>
      </x:c>
    </x:row>
    <x:row r="23">
      <x:c r="A23" s="99" t="n">
        <x:v>46271</x:v>
      </x:c>
      <x:c r="B23" s="47" t="str">
        <x:v>M-2019</x:v>
      </x:c>
      <x:c r="C23" s="47" t="str">
        <x:v>QLD</x:v>
      </x:c>
      <x:c r="D23" s="47" t="str">
        <x:v>Mobility</x:v>
      </x:c>
      <x:c r="E23" s="47" t="n">
        <x:v>3</x:v>
      </x:c>
      <x:c r="F23" s="47" t="n">
        <x:v>90</x:v>
      </x:c>
      <x:c r="G23" s="47" t="str">
        <x:v>Yes</x:v>
      </x:c>
      <x:c r="H23" s="48" t="str">
        <x:v>iOS</x:v>
      </x:c>
    </x:row>
    <x:row r="24">
      <x:c r="A24" s="99" t="n">
        <x:v>46273</x:v>
      </x:c>
      <x:c r="B24" s="47" t="str">
        <x:v>M-2020</x:v>
      </x:c>
      <x:c r="C24" s="47" t="str">
        <x:v>VIC</x:v>
      </x:c>
      <x:c r="D24" s="47" t="str">
        <x:v>Mindfulness</x:v>
      </x:c>
      <x:c r="E24" s="47" t="n">
        <x:v>4</x:v>
      </x:c>
      <x:c r="F24" s="47" t="n">
        <x:v>132</x:v>
      </x:c>
      <x:c r="G24" s="47" t="str">
        <x:v>Yes</x:v>
      </x:c>
      <x:c r="H24" s="48" t="str">
        <x:v>Web</x:v>
      </x:c>
    </x:row>
    <x:row r="25">
      <x:c r="A25" s="99" t="n">
        <x:v>46275</x:v>
      </x:c>
      <x:c r="B25" s="47" t="str">
        <x:v>M-2021</x:v>
      </x:c>
      <x:c r="C25" s="47" t="str">
        <x:v>NSW</x:v>
      </x:c>
      <x:c r="D25" s="47" t="str">
        <x:v>Cardio</x:v>
      </x:c>
      <x:c r="E25" s="47" t="n">
        <x:v>1</x:v>
      </x:c>
      <x:c r="F25" s="47" t="n">
        <x:v>36</x:v>
      </x:c>
      <x:c r="G25" s="47" t="str">
        <x:v>No</x:v>
      </x:c>
      <x:c r="H25" s="48" t="str">
        <x:v>Android</x:v>
      </x:c>
    </x:row>
    <x:row r="26">
      <x:c r="A26" s="99" t="n">
        <x:v>46277</x:v>
      </x:c>
      <x:c r="B26" s="47" t="str">
        <x:v>M-2022</x:v>
      </x:c>
      <x:c r="C26" s="47" t="str">
        <x:v>NZ</x:v>
      </x:c>
      <x:c r="D26" s="47" t="str">
        <x:v>Strength</x:v>
      </x:c>
      <x:c r="E26" s="47" t="n">
        <x:v>2</x:v>
      </x:c>
      <x:c r="F26" s="47" t="n">
        <x:v>36</x:v>
      </x:c>
      <x:c r="G26" s="47" t="str">
        <x:v>Yes</x:v>
      </x:c>
      <x:c r="H26" s="48" t="str">
        <x:v>iOS</x:v>
      </x:c>
    </x:row>
    <x:row r="27">
      <x:c r="A27" s="99" t="n">
        <x:v>46279</x:v>
      </x:c>
      <x:c r="B27" s="47" t="str">
        <x:v>M-2023</x:v>
      </x:c>
      <x:c r="C27" s="47" t="str">
        <x:v>QLD</x:v>
      </x:c>
      <x:c r="D27" s="47" t="str">
        <x:v>Mobility</x:v>
      </x:c>
      <x:c r="E27" s="47" t="n">
        <x:v>3</x:v>
      </x:c>
      <x:c r="F27" s="47" t="n">
        <x:v>63</x:v>
      </x:c>
      <x:c r="G27" s="47" t="str">
        <x:v>Yes</x:v>
      </x:c>
      <x:c r="H27" s="48" t="str">
        <x:v>Web</x:v>
      </x:c>
    </x:row>
    <x:row r="28">
      <x:c r="A28" s="99" t="n">
        <x:v>46281</x:v>
      </x:c>
      <x:c r="B28" s="47" t="str">
        <x:v>M-2024</x:v>
      </x:c>
      <x:c r="C28" s="47" t="str">
        <x:v>VIC</x:v>
      </x:c>
      <x:c r="D28" s="47" t="str">
        <x:v>Mindfulness</x:v>
      </x:c>
      <x:c r="E28" s="47" t="n">
        <x:v>4</x:v>
      </x:c>
      <x:c r="F28" s="47" t="n">
        <x:v>96</x:v>
      </x:c>
      <x:c r="G28" s="47" t="str">
        <x:v>Yes</x:v>
      </x:c>
      <x:c r="H28" s="48" t="str">
        <x:v>Android</x:v>
      </x:c>
    </x:row>
    <x:row r="29">
      <x:c r="A29" s="99" t="n">
        <x:v>46283</x:v>
      </x:c>
      <x:c r="B29" s="47" t="str">
        <x:v>M-2025</x:v>
      </x:c>
      <x:c r="C29" s="47" t="str">
        <x:v>NSW</x:v>
      </x:c>
      <x:c r="D29" s="47" t="str">
        <x:v>Cardio</x:v>
      </x:c>
      <x:c r="E29" s="47" t="n">
        <x:v>1</x:v>
      </x:c>
      <x:c r="F29" s="47" t="n">
        <x:v>27</x:v>
      </x:c>
      <x:c r="G29" s="47" t="str">
        <x:v>Yes</x:v>
      </x:c>
      <x:c r="H29" s="48" t="str">
        <x:v>iOS</x:v>
      </x:c>
    </x:row>
    <x:row r="30">
      <x:c r="A30" s="99" t="n">
        <x:v>46285</x:v>
      </x:c>
      <x:c r="B30" s="47" t="str">
        <x:v>M-2026</x:v>
      </x:c>
      <x:c r="C30" s="47" t="str">
        <x:v>NZ</x:v>
      </x:c>
      <x:c r="D30" s="47" t="str">
        <x:v>Strength</x:v>
      </x:c>
      <x:c r="E30" s="47" t="n">
        <x:v>2</x:v>
      </x:c>
      <x:c r="F30" s="47" t="n">
        <x:v>60</x:v>
      </x:c>
      <x:c r="G30" s="47" t="str">
        <x:v>No</x:v>
      </x:c>
      <x:c r="H30" s="48" t="str">
        <x:v>Web</x:v>
      </x:c>
    </x:row>
    <x:row r="31">
      <x:c r="A31" s="99" t="n">
        <x:v>46287</x:v>
      </x:c>
      <x:c r="B31" s="47" t="str">
        <x:v>M-2027</x:v>
      </x:c>
      <x:c r="C31" s="47" t="str">
        <x:v>QLD</x:v>
      </x:c>
      <x:c r="D31" s="47" t="str">
        <x:v>Mobility</x:v>
      </x:c>
      <x:c r="E31" s="47" t="n">
        <x:v>3</x:v>
      </x:c>
      <x:c r="F31" s="47" t="n">
        <x:v>99</x:v>
      </x:c>
      <x:c r="G31" s="47" t="str">
        <x:v>Yes</x:v>
      </x:c>
      <x:c r="H31" s="48" t="str">
        <x:v>Android</x:v>
      </x:c>
    </x:row>
    <x:row r="32">
      <x:c r="A32" s="99" t="n">
        <x:v>46289</x:v>
      </x:c>
      <x:c r="B32" s="47" t="str">
        <x:v>M-2028</x:v>
      </x:c>
      <x:c r="C32" s="47" t="str">
        <x:v>VIC</x:v>
      </x:c>
      <x:c r="D32" s="47" t="str">
        <x:v>Mindfulness</x:v>
      </x:c>
      <x:c r="E32" s="47" t="n">
        <x:v>4</x:v>
      </x:c>
      <x:c r="F32" s="47" t="n">
        <x:v>144</x:v>
      </x:c>
      <x:c r="G32" s="47" t="str">
        <x:v>Yes</x:v>
      </x:c>
      <x:c r="H32" s="48" t="str">
        <x:v>iOS</x:v>
      </x:c>
    </x:row>
    <x:row r="33">
      <x:c r="A33" s="99" t="n">
        <x:v>46291</x:v>
      </x:c>
      <x:c r="B33" s="47" t="str">
        <x:v>M-2029</x:v>
      </x:c>
      <x:c r="C33" s="47" t="str">
        <x:v>NSW</x:v>
      </x:c>
      <x:c r="D33" s="47" t="str">
        <x:v>Cardio</x:v>
      </x:c>
      <x:c r="E33" s="47" t="n">
        <x:v>1</x:v>
      </x:c>
      <x:c r="F33" s="47" t="n">
        <x:v>18</x:v>
      </x:c>
      <x:c r="G33" s="47" t="str">
        <x:v>Yes</x:v>
      </x:c>
      <x:c r="H33" s="48" t="str">
        <x:v>Web</x:v>
      </x:c>
    </x:row>
    <x:row r="34">
      <x:c r="A34" s="99" t="n">
        <x:v>46293</x:v>
      </x:c>
      <x:c r="B34" s="47" t="str">
        <x:v>M-2030</x:v>
      </x:c>
      <x:c r="C34" s="47" t="str">
        <x:v>NZ</x:v>
      </x:c>
      <x:c r="D34" s="47" t="str">
        <x:v>Strength</x:v>
      </x:c>
      <x:c r="E34" s="47" t="n">
        <x:v>2</x:v>
      </x:c>
      <x:c r="F34" s="47" t="n">
        <x:v>42</x:v>
      </x:c>
      <x:c r="G34" s="47" t="str">
        <x:v>Yes</x:v>
      </x:c>
      <x:c r="H34" s="48" t="str">
        <x:v>Android</x:v>
      </x:c>
    </x:row>
    <x:row r="35">
      <x:c r="A35" s="99" t="n">
        <x:v>46295</x:v>
      </x:c>
      <x:c r="B35" s="47" t="str">
        <x:v>M-2031</x:v>
      </x:c>
      <x:c r="C35" s="47" t="str">
        <x:v>QLD</x:v>
      </x:c>
      <x:c r="D35" s="47" t="str">
        <x:v>Mobility</x:v>
      </x:c>
      <x:c r="E35" s="47" t="n">
        <x:v>3</x:v>
      </x:c>
      <x:c r="F35" s="47" t="n">
        <x:v>72</x:v>
      </x:c>
      <x:c r="G35" s="47" t="str">
        <x:v>No</x:v>
      </x:c>
      <x:c r="H35" s="48" t="str">
        <x:v>iOS</x:v>
      </x:c>
    </x:row>
    <x:row r="36">
      <x:c r="A36" s="99" t="n">
        <x:v>46236</x:v>
      </x:c>
      <x:c r="B36" s="47" t="str">
        <x:v>M-2032</x:v>
      </x:c>
      <x:c r="C36" s="47" t="str">
        <x:v>VIC</x:v>
      </x:c>
      <x:c r="D36" s="47" t="str">
        <x:v>Mindfulness</x:v>
      </x:c>
      <x:c r="E36" s="47" t="n">
        <x:v>4</x:v>
      </x:c>
      <x:c r="F36" s="47" t="n">
        <x:v>108</x:v>
      </x:c>
      <x:c r="G36" s="47" t="str">
        <x:v>Yes</x:v>
      </x:c>
      <x:c r="H36" s="48" t="str">
        <x:v>Web</x:v>
      </x:c>
    </x:row>
    <x:row r="37">
      <x:c r="A37" s="99" t="n">
        <x:v>46238</x:v>
      </x:c>
      <x:c r="B37" s="47" t="str">
        <x:v>M-2033</x:v>
      </x:c>
      <x:c r="C37" s="47" t="str">
        <x:v>NSW</x:v>
      </x:c>
      <x:c r="D37" s="47" t="str">
        <x:v>Cardio</x:v>
      </x:c>
      <x:c r="E37" s="47" t="n">
        <x:v>1</x:v>
      </x:c>
      <x:c r="F37" s="47" t="n">
        <x:v>30</x:v>
      </x:c>
      <x:c r="G37" s="47" t="str">
        <x:v>Yes</x:v>
      </x:c>
      <x:c r="H37" s="48" t="str">
        <x:v>Android</x:v>
      </x:c>
    </x:row>
    <x:row r="38">
      <x:c r="A38" s="99" t="n">
        <x:v>46240</x:v>
      </x:c>
      <x:c r="B38" s="47" t="str">
        <x:v>M-2034</x:v>
      </x:c>
      <x:c r="C38" s="47" t="str">
        <x:v>NZ</x:v>
      </x:c>
      <x:c r="D38" s="47" t="str">
        <x:v>Strength</x:v>
      </x:c>
      <x:c r="E38" s="47" t="n">
        <x:v>2</x:v>
      </x:c>
      <x:c r="F38" s="47" t="n">
        <x:v>66</x:v>
      </x:c>
      <x:c r="G38" s="47" t="str">
        <x:v>Yes</x:v>
      </x:c>
      <x:c r="H38" s="48" t="str">
        <x:v>iOS</x:v>
      </x:c>
    </x:row>
    <x:row r="39">
      <x:c r="A39" s="99" t="n">
        <x:v>46242</x:v>
      </x:c>
      <x:c r="B39" s="47" t="str">
        <x:v>M-2035</x:v>
      </x:c>
      <x:c r="C39" s="47" t="str">
        <x:v>QLD</x:v>
      </x:c>
      <x:c r="D39" s="47" t="str">
        <x:v>Mobility</x:v>
      </x:c>
      <x:c r="E39" s="47" t="n">
        <x:v>3</x:v>
      </x:c>
      <x:c r="F39" s="47" t="n">
        <x:v>108</x:v>
      </x:c>
      <x:c r="G39" s="47" t="str">
        <x:v>Yes</x:v>
      </x:c>
      <x:c r="H39" s="48" t="str">
        <x:v>Web</x:v>
      </x:c>
    </x:row>
    <x:row r="40">
      <x:c r="A40" s="99" t="n">
        <x:v>46244</x:v>
      </x:c>
      <x:c r="B40" s="47" t="str">
        <x:v>M-2036</x:v>
      </x:c>
      <x:c r="C40" s="47" t="str">
        <x:v>VIC</x:v>
      </x:c>
      <x:c r="D40" s="47" t="str">
        <x:v>Mindfulness</x:v>
      </x:c>
      <x:c r="E40" s="47" t="n">
        <x:v>4</x:v>
      </x:c>
      <x:c r="F40" s="47" t="n">
        <x:v>72</x:v>
      </x:c>
      <x:c r="G40" s="47" t="str">
        <x:v>No</x:v>
      </x:c>
      <x:c r="H40" s="48" t="str">
        <x:v>Android</x:v>
      </x:c>
    </x:row>
    <x:row r="41">
      <x:c r="A41" s="99" t="n">
        <x:v>46246</x:v>
      </x:c>
      <x:c r="B41" s="47" t="str">
        <x:v>M-2037</x:v>
      </x:c>
      <x:c r="C41" s="47" t="str">
        <x:v>NSW</x:v>
      </x:c>
      <x:c r="D41" s="47" t="str">
        <x:v>Cardio</x:v>
      </x:c>
      <x:c r="E41" s="47" t="n">
        <x:v>1</x:v>
      </x:c>
      <x:c r="F41" s="47" t="n">
        <x:v>21</x:v>
      </x:c>
      <x:c r="G41" s="47" t="str">
        <x:v>Yes</x:v>
      </x:c>
      <x:c r="H41" s="48" t="str">
        <x:v>iOS</x:v>
      </x:c>
    </x:row>
    <x:row r="42">
      <x:c r="A42" s="99" t="n">
        <x:v>46248</x:v>
      </x:c>
      <x:c r="B42" s="47" t="str">
        <x:v>M-2038</x:v>
      </x:c>
      <x:c r="C42" s="47" t="str">
        <x:v>NZ</x:v>
      </x:c>
      <x:c r="D42" s="47" t="str">
        <x:v>Strength</x:v>
      </x:c>
      <x:c r="E42" s="47" t="n">
        <x:v>2</x:v>
      </x:c>
      <x:c r="F42" s="47" t="n">
        <x:v>48</x:v>
      </x:c>
      <x:c r="G42" s="47" t="str">
        <x:v>Yes</x:v>
      </x:c>
      <x:c r="H42" s="48" t="str">
        <x:v>Web</x:v>
      </x:c>
    </x:row>
    <x:row r="43">
      <x:c r="A43" s="99" t="n">
        <x:v>46250</x:v>
      </x:c>
      <x:c r="B43" s="47" t="str">
        <x:v>M-2039</x:v>
      </x:c>
      <x:c r="C43" s="47" t="str">
        <x:v>QLD</x:v>
      </x:c>
      <x:c r="D43" s="47" t="str">
        <x:v>Mobility</x:v>
      </x:c>
      <x:c r="E43" s="47" t="n">
        <x:v>3</x:v>
      </x:c>
      <x:c r="F43" s="47" t="n">
        <x:v>81</x:v>
      </x:c>
      <x:c r="G43" s="47" t="str">
        <x:v>Yes</x:v>
      </x:c>
      <x:c r="H43" s="48" t="str">
        <x:v>Android</x:v>
      </x:c>
    </x:row>
    <x:row r="44">
      <x:c r="A44" s="99" t="n">
        <x:v>46252</x:v>
      </x:c>
      <x:c r="B44" s="47" t="str">
        <x:v>M-2040</x:v>
      </x:c>
      <x:c r="C44" s="47" t="str">
        <x:v>VIC</x:v>
      </x:c>
      <x:c r="D44" s="47" t="str">
        <x:v>Mindfulness</x:v>
      </x:c>
      <x:c r="E44" s="47" t="n">
        <x:v>4</x:v>
      </x:c>
      <x:c r="F44" s="47" t="n">
        <x:v>120</x:v>
      </x:c>
      <x:c r="G44" s="47" t="str">
        <x:v>Yes</x:v>
      </x:c>
      <x:c r="H44" s="48" t="str">
        <x:v>iOS</x:v>
      </x:c>
    </x:row>
    <x:row r="45">
      <x:c r="A45" s="99" t="n">
        <x:v>46254</x:v>
      </x:c>
      <x:c r="B45" s="47" t="str">
        <x:v>M-2041</x:v>
      </x:c>
      <x:c r="C45" s="47" t="str">
        <x:v>NSW</x:v>
      </x:c>
      <x:c r="D45" s="47" t="str">
        <x:v>Cardio</x:v>
      </x:c>
      <x:c r="E45" s="47" t="n">
        <x:v>1</x:v>
      </x:c>
      <x:c r="F45" s="47" t="n">
        <x:v>33</x:v>
      </x:c>
      <x:c r="G45" s="47" t="str">
        <x:v>No</x:v>
      </x:c>
      <x:c r="H45" s="48" t="str">
        <x:v>Web</x:v>
      </x:c>
    </x:row>
    <x:row r="46">
      <x:c r="A46" s="99" t="n">
        <x:v>46256</x:v>
      </x:c>
      <x:c r="B46" s="47" t="str">
        <x:v>M-2042</x:v>
      </x:c>
      <x:c r="C46" s="47" t="str">
        <x:v>NZ</x:v>
      </x:c>
      <x:c r="D46" s="47" t="str">
        <x:v>Strength</x:v>
      </x:c>
      <x:c r="E46" s="47" t="n">
        <x:v>2</x:v>
      </x:c>
      <x:c r="F46" s="47" t="n">
        <x:v>72</x:v>
      </x:c>
      <x:c r="G46" s="47" t="str">
        <x:v>Yes</x:v>
      </x:c>
      <x:c r="H46" s="48" t="str">
        <x:v>Android</x:v>
      </x:c>
    </x:row>
    <x:row r="47">
      <x:c r="A47" s="99" t="n">
        <x:v>46258</x:v>
      </x:c>
      <x:c r="B47" s="47" t="str">
        <x:v>M-2001</x:v>
      </x:c>
      <x:c r="C47" s="47" t="str">
        <x:v>QLD</x:v>
      </x:c>
      <x:c r="D47" s="47" t="str">
        <x:v>Mobility</x:v>
      </x:c>
      <x:c r="E47" s="47" t="n">
        <x:v>3</x:v>
      </x:c>
      <x:c r="F47" s="47" t="n">
        <x:v>54</x:v>
      </x:c>
      <x:c r="G47" s="47" t="str">
        <x:v>Yes</x:v>
      </x:c>
      <x:c r="H47" s="48" t="str">
        <x:v>iOS</x:v>
      </x:c>
    </x:row>
    <x:row r="48">
      <x:c r="A48" s="99" t="n">
        <x:v>46260</x:v>
      </x:c>
      <x:c r="B48" s="47" t="str">
        <x:v>M-2002</x:v>
      </x:c>
      <x:c r="C48" s="47" t="str">
        <x:v>VIC</x:v>
      </x:c>
      <x:c r="D48" s="47" t="str">
        <x:v>Mindfulness</x:v>
      </x:c>
      <x:c r="E48" s="47" t="n">
        <x:v>4</x:v>
      </x:c>
      <x:c r="F48" s="47" t="n">
        <x:v>84</x:v>
      </x:c>
      <x:c r="G48" s="47" t="str">
        <x:v>Yes</x:v>
      </x:c>
      <x:c r="H48" s="48" t="str">
        <x:v>Web</x:v>
      </x:c>
    </x:row>
    <x:row r="49">
      <x:c r="A49" s="99" t="n">
        <x:v>46262</x:v>
      </x:c>
      <x:c r="B49" s="47" t="str">
        <x:v>M-2003</x:v>
      </x:c>
      <x:c r="C49" s="47" t="str">
        <x:v>NSW</x:v>
      </x:c>
      <x:c r="D49" s="47" t="str">
        <x:v>Cardio</x:v>
      </x:c>
      <x:c r="E49" s="47" t="n">
        <x:v>1</x:v>
      </x:c>
      <x:c r="F49" s="47" t="n">
        <x:v>24</x:v>
      </x:c>
      <x:c r="G49" s="47" t="str">
        <x:v>Yes</x:v>
      </x:c>
      <x:c r="H49" s="48" t="str">
        <x:v>Android</x:v>
      </x:c>
    </x:row>
    <x:row r="50">
      <x:c r="A50" s="99" t="n">
        <x:v>46264</x:v>
      </x:c>
      <x:c r="B50" s="47" t="str">
        <x:v>M-2004</x:v>
      </x:c>
      <x:c r="C50" s="47" t="str">
        <x:v>NZ</x:v>
      </x:c>
      <x:c r="D50" s="47" t="str">
        <x:v>Strength</x:v>
      </x:c>
      <x:c r="E50" s="47" t="n">
        <x:v>2</x:v>
      </x:c>
      <x:c r="F50" s="47" t="n">
        <x:v>54</x:v>
      </x:c>
      <x:c r="G50" s="47" t="str">
        <x:v>No</x:v>
      </x:c>
      <x:c r="H50" s="48" t="str">
        <x:v>iOS</x:v>
      </x:c>
    </x:row>
    <x:row r="51">
      <x:c r="A51" s="99" t="n">
        <x:v>46266</x:v>
      </x:c>
      <x:c r="B51" s="47" t="str">
        <x:v>M-2005</x:v>
      </x:c>
      <x:c r="C51" s="47" t="str">
        <x:v>QLD</x:v>
      </x:c>
      <x:c r="D51" s="47" t="str">
        <x:v>Mobility</x:v>
      </x:c>
      <x:c r="E51" s="47" t="n">
        <x:v>3</x:v>
      </x:c>
      <x:c r="F51" s="47" t="n">
        <x:v>90</x:v>
      </x:c>
      <x:c r="G51" s="47" t="str">
        <x:v>Yes</x:v>
      </x:c>
      <x:c r="H51" s="48" t="str">
        <x:v>Web</x:v>
      </x:c>
    </x:row>
    <x:row r="52">
      <x:c r="A52" s="99" t="n">
        <x:v>46268</x:v>
      </x:c>
      <x:c r="B52" s="47" t="str">
        <x:v>M-2006</x:v>
      </x:c>
      <x:c r="C52" s="47" t="str">
        <x:v>VIC</x:v>
      </x:c>
      <x:c r="D52" s="47" t="str">
        <x:v>Mindfulness</x:v>
      </x:c>
      <x:c r="E52" s="47" t="n">
        <x:v>4</x:v>
      </x:c>
      <x:c r="F52" s="47" t="n">
        <x:v>132</x:v>
      </x:c>
      <x:c r="G52" s="47" t="str">
        <x:v>Yes</x:v>
      </x:c>
      <x:c r="H52" s="48" t="str">
        <x:v>Android</x:v>
      </x:c>
    </x:row>
    <x:row r="53">
      <x:c r="A53" s="99" t="n">
        <x:v>46270</x:v>
      </x:c>
      <x:c r="B53" s="47" t="str">
        <x:v>M-2007</x:v>
      </x:c>
      <x:c r="C53" s="47" t="str">
        <x:v>NSW</x:v>
      </x:c>
      <x:c r="D53" s="47" t="str">
        <x:v>Cardio</x:v>
      </x:c>
      <x:c r="E53" s="47" t="n">
        <x:v>1</x:v>
      </x:c>
      <x:c r="F53" s="47" t="n">
        <x:v>36</x:v>
      </x:c>
      <x:c r="G53" s="47" t="str">
        <x:v>Yes</x:v>
      </x:c>
      <x:c r="H53" s="48" t="str">
        <x:v>iOS</x:v>
      </x:c>
    </x:row>
    <x:row r="54">
      <x:c r="A54" s="99" t="n">
        <x:v>46272</x:v>
      </x:c>
      <x:c r="B54" s="47" t="str">
        <x:v>M-2008</x:v>
      </x:c>
      <x:c r="C54" s="47" t="str">
        <x:v>NZ</x:v>
      </x:c>
      <x:c r="D54" s="47" t="str">
        <x:v>Strength</x:v>
      </x:c>
      <x:c r="E54" s="47" t="n">
        <x:v>2</x:v>
      </x:c>
      <x:c r="F54" s="47" t="n">
        <x:v>36</x:v>
      </x:c>
      <x:c r="G54" s="47" t="str">
        <x:v>Yes</x:v>
      </x:c>
      <x:c r="H54" s="48" t="str">
        <x:v>Web</x:v>
      </x:c>
    </x:row>
    <x:row r="55">
      <x:c r="A55" s="99" t="n">
        <x:v>46274</x:v>
      </x:c>
      <x:c r="B55" s="47" t="str">
        <x:v>M-2009</x:v>
      </x:c>
      <x:c r="C55" s="47" t="str">
        <x:v>QLD</x:v>
      </x:c>
      <x:c r="D55" s="47" t="str">
        <x:v>Mobility</x:v>
      </x:c>
      <x:c r="E55" s="47" t="n">
        <x:v>3</x:v>
      </x:c>
      <x:c r="F55" s="47" t="n">
        <x:v>63</x:v>
      </x:c>
      <x:c r="G55" s="47" t="str">
        <x:v>No</x:v>
      </x:c>
      <x:c r="H55" s="48" t="str">
        <x:v>Android</x:v>
      </x:c>
    </x:row>
    <x:row r="56">
      <x:c r="A56" s="99" t="n">
        <x:v>46276</x:v>
      </x:c>
      <x:c r="B56" s="47" t="str">
        <x:v>M-2010</x:v>
      </x:c>
      <x:c r="C56" s="47" t="str">
        <x:v>VIC</x:v>
      </x:c>
      <x:c r="D56" s="47" t="str">
        <x:v>Mindfulness</x:v>
      </x:c>
      <x:c r="E56" s="47" t="n">
        <x:v>4</x:v>
      </x:c>
      <x:c r="F56" s="47" t="n">
        <x:v>96</x:v>
      </x:c>
      <x:c r="G56" s="47" t="str">
        <x:v>Yes</x:v>
      </x:c>
      <x:c r="H56" s="48" t="str">
        <x:v>iOS</x:v>
      </x:c>
    </x:row>
    <x:row r="57">
      <x:c r="A57" s="99" t="n">
        <x:v>46278</x:v>
      </x:c>
      <x:c r="B57" s="47" t="str">
        <x:v>M-2011</x:v>
      </x:c>
      <x:c r="C57" s="47" t="str">
        <x:v>NSW</x:v>
      </x:c>
      <x:c r="D57" s="47" t="str">
        <x:v>Cardio</x:v>
      </x:c>
      <x:c r="E57" s="47" t="n">
        <x:v>1</x:v>
      </x:c>
      <x:c r="F57" s="47" t="n">
        <x:v>27</x:v>
      </x:c>
      <x:c r="G57" s="47" t="str">
        <x:v>Yes</x:v>
      </x:c>
      <x:c r="H57" s="48" t="str">
        <x:v>Web</x:v>
      </x:c>
    </x:row>
    <x:row r="58">
      <x:c r="A58" s="99" t="n">
        <x:v>46280</x:v>
      </x:c>
      <x:c r="B58" s="47" t="str">
        <x:v>M-2012</x:v>
      </x:c>
      <x:c r="C58" s="47" t="str">
        <x:v>NZ</x:v>
      </x:c>
      <x:c r="D58" s="47" t="str">
        <x:v>Strength</x:v>
      </x:c>
      <x:c r="E58" s="47" t="n">
        <x:v>2</x:v>
      </x:c>
      <x:c r="F58" s="47" t="n">
        <x:v>60</x:v>
      </x:c>
      <x:c r="G58" s="47" t="str">
        <x:v>Yes</x:v>
      </x:c>
      <x:c r="H58" s="48" t="str">
        <x:v>Android</x:v>
      </x:c>
    </x:row>
    <x:row r="59">
      <x:c r="A59" s="99" t="n">
        <x:v>46282</x:v>
      </x:c>
      <x:c r="B59" s="47" t="str">
        <x:v>M-2013</x:v>
      </x:c>
      <x:c r="C59" s="47" t="str">
        <x:v>QLD</x:v>
      </x:c>
      <x:c r="D59" s="47" t="str">
        <x:v>Mobility</x:v>
      </x:c>
      <x:c r="E59" s="47" t="n">
        <x:v>3</x:v>
      </x:c>
      <x:c r="F59" s="47" t="n">
        <x:v>99</x:v>
      </x:c>
      <x:c r="G59" s="47" t="str">
        <x:v>Yes</x:v>
      </x:c>
      <x:c r="H59" s="48" t="str">
        <x:v>iOS</x:v>
      </x:c>
    </x:row>
    <x:row r="60">
      <x:c r="A60" s="99" t="n">
        <x:v>46284</x:v>
      </x:c>
      <x:c r="B60" s="47" t="str">
        <x:v>M-2014</x:v>
      </x:c>
      <x:c r="C60" s="47" t="str">
        <x:v>VIC</x:v>
      </x:c>
      <x:c r="D60" s="47" t="str">
        <x:v>Mindfulness</x:v>
      </x:c>
      <x:c r="E60" s="47" t="n">
        <x:v>4</x:v>
      </x:c>
      <x:c r="F60" s="47" t="n">
        <x:v>144</x:v>
      </x:c>
      <x:c r="G60" s="47" t="str">
        <x:v>No</x:v>
      </x:c>
      <x:c r="H60" s="48" t="str">
        <x:v>Web</x:v>
      </x:c>
    </x:row>
    <x:row r="61">
      <x:c r="A61" s="99" t="n">
        <x:v>46286</x:v>
      </x:c>
      <x:c r="B61" s="47" t="str">
        <x:v>M-2015</x:v>
      </x:c>
      <x:c r="C61" s="47" t="str">
        <x:v>NSW</x:v>
      </x:c>
      <x:c r="D61" s="47" t="str">
        <x:v>Cardio</x:v>
      </x:c>
      <x:c r="E61" s="47" t="n">
        <x:v>1</x:v>
      </x:c>
      <x:c r="F61" s="47" t="n">
        <x:v>18</x:v>
      </x:c>
      <x:c r="G61" s="47" t="str">
        <x:v>Yes</x:v>
      </x:c>
      <x:c r="H61" s="48" t="str">
        <x:v>Android</x:v>
      </x:c>
    </x:row>
    <x:row r="62">
      <x:c r="A62" s="99" t="n">
        <x:v>46288</x:v>
      </x:c>
      <x:c r="B62" s="47" t="str">
        <x:v>M-2016</x:v>
      </x:c>
      <x:c r="C62" s="47" t="str">
        <x:v>NZ</x:v>
      </x:c>
      <x:c r="D62" s="47" t="str">
        <x:v>Strength</x:v>
      </x:c>
      <x:c r="E62" s="47" t="n">
        <x:v>2</x:v>
      </x:c>
      <x:c r="F62" s="47" t="n">
        <x:v>42</x:v>
      </x:c>
      <x:c r="G62" s="47" t="str">
        <x:v>Yes</x:v>
      </x:c>
      <x:c r="H62" s="48" t="str">
        <x:v>iOS</x:v>
      </x:c>
    </x:row>
    <x:row r="63">
      <x:c r="A63" s="99" t="n">
        <x:v>46290</x:v>
      </x:c>
      <x:c r="B63" s="47" t="str">
        <x:v>M-2017</x:v>
      </x:c>
      <x:c r="C63" s="47" t="str">
        <x:v>QLD</x:v>
      </x:c>
      <x:c r="D63" s="47" t="str">
        <x:v>Mobility</x:v>
      </x:c>
      <x:c r="E63" s="47" t="n">
        <x:v>3</x:v>
      </x:c>
      <x:c r="F63" s="47" t="n">
        <x:v>72</x:v>
      </x:c>
      <x:c r="G63" s="47" t="str">
        <x:v>Yes</x:v>
      </x:c>
      <x:c r="H63" s="48" t="str">
        <x:v>Web</x:v>
      </x:c>
    </x:row>
    <x:row r="64">
      <x:c r="A64" s="99" t="n">
        <x:v>46292</x:v>
      </x:c>
      <x:c r="B64" s="47" t="str">
        <x:v>M-2018</x:v>
      </x:c>
      <x:c r="C64" s="47" t="str">
        <x:v>VIC</x:v>
      </x:c>
      <x:c r="D64" s="47" t="str">
        <x:v>Mindfulness</x:v>
      </x:c>
      <x:c r="E64" s="47" t="n">
        <x:v>4</x:v>
      </x:c>
      <x:c r="F64" s="47" t="n">
        <x:v>108</x:v>
      </x:c>
      <x:c r="G64" s="47" t="str">
        <x:v>Yes</x:v>
      </x:c>
      <x:c r="H64" s="48" t="str">
        <x:v>Android</x:v>
      </x:c>
    </x:row>
    <x:row r="65">
      <x:c r="A65" s="99" t="n">
        <x:v>46294</x:v>
      </x:c>
      <x:c r="B65" s="47" t="str">
        <x:v>M-2019</x:v>
      </x:c>
      <x:c r="C65" s="47" t="str">
        <x:v>NSW</x:v>
      </x:c>
      <x:c r="D65" s="47" t="str">
        <x:v>Cardio</x:v>
      </x:c>
      <x:c r="E65" s="47" t="n">
        <x:v>1</x:v>
      </x:c>
      <x:c r="F65" s="47" t="n">
        <x:v>30</x:v>
      </x:c>
      <x:c r="G65" s="47" t="str">
        <x:v>No</x:v>
      </x:c>
      <x:c r="H65" s="48" t="str">
        <x:v>iOS</x:v>
      </x:c>
    </x:row>
    <x:row r="66">
      <x:c r="A66" s="99" t="n">
        <x:v>46235</x:v>
      </x:c>
      <x:c r="B66" s="47" t="str">
        <x:v>M-2020</x:v>
      </x:c>
      <x:c r="C66" s="47" t="str">
        <x:v>NZ</x:v>
      </x:c>
      <x:c r="D66" s="47" t="str">
        <x:v>Strength</x:v>
      </x:c>
      <x:c r="E66" s="47" t="n">
        <x:v>2</x:v>
      </x:c>
      <x:c r="F66" s="47" t="n">
        <x:v>66</x:v>
      </x:c>
      <x:c r="G66" s="47" t="str">
        <x:v>Yes</x:v>
      </x:c>
      <x:c r="H66" s="48" t="str">
        <x:v>Web</x:v>
      </x:c>
    </x:row>
    <x:row r="67">
      <x:c r="A67" s="99" t="n">
        <x:v>46237</x:v>
      </x:c>
      <x:c r="B67" s="47" t="str">
        <x:v>M-2021</x:v>
      </x:c>
      <x:c r="C67" s="47" t="str">
        <x:v>QLD</x:v>
      </x:c>
      <x:c r="D67" s="47" t="str">
        <x:v>Mobility</x:v>
      </x:c>
      <x:c r="E67" s="47" t="n">
        <x:v>3</x:v>
      </x:c>
      <x:c r="F67" s="47" t="n">
        <x:v>108</x:v>
      </x:c>
      <x:c r="G67" s="47" t="str">
        <x:v>Yes</x:v>
      </x:c>
      <x:c r="H67" s="48" t="str">
        <x:v>Android</x:v>
      </x:c>
    </x:row>
    <x:row r="68">
      <x:c r="A68" s="99" t="n">
        <x:v>46239</x:v>
      </x:c>
      <x:c r="B68" s="47" t="str">
        <x:v>M-2022</x:v>
      </x:c>
      <x:c r="C68" s="47" t="str">
        <x:v>VIC</x:v>
      </x:c>
      <x:c r="D68" s="47" t="str">
        <x:v>Mindfulness</x:v>
      </x:c>
      <x:c r="E68" s="47" t="n">
        <x:v>4</x:v>
      </x:c>
      <x:c r="F68" s="47" t="n">
        <x:v>72</x:v>
      </x:c>
      <x:c r="G68" s="47" t="str">
        <x:v>Yes</x:v>
      </x:c>
      <x:c r="H68" s="48" t="str">
        <x:v>iOS</x:v>
      </x:c>
    </x:row>
    <x:row r="69">
      <x:c r="A69" s="99" t="n">
        <x:v>46241</x:v>
      </x:c>
      <x:c r="B69" s="47" t="str">
        <x:v>M-2023</x:v>
      </x:c>
      <x:c r="C69" s="47" t="str">
        <x:v>NSW</x:v>
      </x:c>
      <x:c r="D69" s="47" t="str">
        <x:v>Cardio</x:v>
      </x:c>
      <x:c r="E69" s="47" t="n">
        <x:v>1</x:v>
      </x:c>
      <x:c r="F69" s="47" t="n">
        <x:v>21</x:v>
      </x:c>
      <x:c r="G69" s="47" t="str">
        <x:v>Yes</x:v>
      </x:c>
      <x:c r="H69" s="48" t="str">
        <x:v>Web</x:v>
      </x:c>
    </x:row>
    <x:row r="70">
      <x:c r="A70" s="99" t="n">
        <x:v>46243</x:v>
      </x:c>
      <x:c r="B70" s="47" t="str">
        <x:v>M-2024</x:v>
      </x:c>
      <x:c r="C70" s="47" t="str">
        <x:v>NZ</x:v>
      </x:c>
      <x:c r="D70" s="47" t="str">
        <x:v>Strength</x:v>
      </x:c>
      <x:c r="E70" s="47" t="n">
        <x:v>2</x:v>
      </x:c>
      <x:c r="F70" s="47" t="n">
        <x:v>48</x:v>
      </x:c>
      <x:c r="G70" s="47" t="str">
        <x:v>No</x:v>
      </x:c>
      <x:c r="H70" s="48" t="str">
        <x:v>Android</x:v>
      </x:c>
    </x:row>
    <x:row r="71">
      <x:c r="A71" s="99" t="n">
        <x:v>46245</x:v>
      </x:c>
      <x:c r="B71" s="47" t="str">
        <x:v>M-2025</x:v>
      </x:c>
      <x:c r="C71" s="47" t="str">
        <x:v>QLD</x:v>
      </x:c>
      <x:c r="D71" s="47" t="str">
        <x:v>Mobility</x:v>
      </x:c>
      <x:c r="E71" s="47" t="n">
        <x:v>3</x:v>
      </x:c>
      <x:c r="F71" s="47" t="n">
        <x:v>81</x:v>
      </x:c>
      <x:c r="G71" s="47" t="str">
        <x:v>Yes</x:v>
      </x:c>
      <x:c r="H71" s="48" t="str">
        <x:v>iOS</x:v>
      </x:c>
    </x:row>
    <x:row r="72">
      <x:c r="A72" s="99" t="n">
        <x:v>46247</x:v>
      </x:c>
      <x:c r="B72" s="47" t="str">
        <x:v>M-2026</x:v>
      </x:c>
      <x:c r="C72" s="47" t="str">
        <x:v>VIC</x:v>
      </x:c>
      <x:c r="D72" s="47" t="str">
        <x:v>Mindfulness</x:v>
      </x:c>
      <x:c r="E72" s="47" t="n">
        <x:v>4</x:v>
      </x:c>
      <x:c r="F72" s="47" t="n">
        <x:v>120</x:v>
      </x:c>
      <x:c r="G72" s="47" t="str">
        <x:v>Yes</x:v>
      </x:c>
      <x:c r="H72" s="48" t="str">
        <x:v>Web</x:v>
      </x:c>
    </x:row>
    <x:row r="73">
      <x:c r="A73" s="99" t="n">
        <x:v>46249</x:v>
      </x:c>
      <x:c r="B73" s="47" t="str">
        <x:v>M-2027</x:v>
      </x:c>
      <x:c r="C73" s="47" t="str">
        <x:v>NSW</x:v>
      </x:c>
      <x:c r="D73" s="47" t="str">
        <x:v>Cardio</x:v>
      </x:c>
      <x:c r="E73" s="47" t="n">
        <x:v>1</x:v>
      </x:c>
      <x:c r="F73" s="47" t="n">
        <x:v>33</x:v>
      </x:c>
      <x:c r="G73" s="47" t="str">
        <x:v>Yes</x:v>
      </x:c>
      <x:c r="H73" s="48" t="str">
        <x:v>Android</x:v>
      </x:c>
    </x:row>
    <x:row r="74">
      <x:c r="A74" s="99" t="n">
        <x:v>46251</x:v>
      </x:c>
      <x:c r="B74" s="47" t="str">
        <x:v>M-2028</x:v>
      </x:c>
      <x:c r="C74" s="47" t="str">
        <x:v>NZ</x:v>
      </x:c>
      <x:c r="D74" s="47" t="str">
        <x:v>Strength</x:v>
      </x:c>
      <x:c r="E74" s="47" t="n">
        <x:v>2</x:v>
      </x:c>
      <x:c r="F74" s="47" t="n">
        <x:v>72</x:v>
      </x:c>
      <x:c r="G74" s="47" t="str">
        <x:v>Yes</x:v>
      </x:c>
      <x:c r="H74" s="48" t="str">
        <x:v>iOS</x:v>
      </x:c>
    </x:row>
    <x:row r="75">
      <x:c r="A75" s="99" t="n">
        <x:v>46253</x:v>
      </x:c>
      <x:c r="B75" s="47" t="str">
        <x:v>M-2029</x:v>
      </x:c>
      <x:c r="C75" s="47" t="str">
        <x:v>QLD</x:v>
      </x:c>
      <x:c r="D75" s="47" t="str">
        <x:v>Mobility</x:v>
      </x:c>
      <x:c r="E75" s="47" t="n">
        <x:v>3</x:v>
      </x:c>
      <x:c r="F75" s="47" t="n">
        <x:v>54</x:v>
      </x:c>
      <x:c r="G75" s="47" t="str">
        <x:v>No</x:v>
      </x:c>
      <x:c r="H75" s="48" t="str">
        <x:v>Web</x:v>
      </x:c>
    </x:row>
    <x:row r="76">
      <x:c r="A76" s="99" t="n">
        <x:v>46255</x:v>
      </x:c>
      <x:c r="B76" s="47" t="str">
        <x:v>M-2030</x:v>
      </x:c>
      <x:c r="C76" s="47" t="str">
        <x:v>VIC</x:v>
      </x:c>
      <x:c r="D76" s="47" t="str">
        <x:v>Mindfulness</x:v>
      </x:c>
      <x:c r="E76" s="47" t="n">
        <x:v>4</x:v>
      </x:c>
      <x:c r="F76" s="47" t="n">
        <x:v>84</x:v>
      </x:c>
      <x:c r="G76" s="47" t="str">
        <x:v>Yes</x:v>
      </x:c>
      <x:c r="H76" s="48" t="str">
        <x:v>Android</x:v>
      </x:c>
    </x:row>
    <x:row r="77">
      <x:c r="A77" s="99" t="n">
        <x:v>46257</x:v>
      </x:c>
      <x:c r="B77" s="47" t="str">
        <x:v>M-2031</x:v>
      </x:c>
      <x:c r="C77" s="47" t="str">
        <x:v>NSW</x:v>
      </x:c>
      <x:c r="D77" s="47" t="str">
        <x:v>Cardio</x:v>
      </x:c>
      <x:c r="E77" s="47" t="n">
        <x:v>1</x:v>
      </x:c>
      <x:c r="F77" s="47" t="n">
        <x:v>24</x:v>
      </x:c>
      <x:c r="G77" s="47" t="str">
        <x:v>Yes</x:v>
      </x:c>
      <x:c r="H77" s="48" t="str">
        <x:v>iOS</x:v>
      </x:c>
    </x:row>
    <x:row r="78">
      <x:c r="A78" s="99" t="n">
        <x:v>46259</x:v>
      </x:c>
      <x:c r="B78" s="47" t="str">
        <x:v>M-2032</x:v>
      </x:c>
      <x:c r="C78" s="47" t="str">
        <x:v>NZ</x:v>
      </x:c>
      <x:c r="D78" s="47" t="str">
        <x:v>Strength</x:v>
      </x:c>
      <x:c r="E78" s="47" t="n">
        <x:v>2</x:v>
      </x:c>
      <x:c r="F78" s="47" t="n">
        <x:v>54</x:v>
      </x:c>
      <x:c r="G78" s="47" t="str">
        <x:v>Yes</x:v>
      </x:c>
      <x:c r="H78" s="48" t="str">
        <x:v>Web</x:v>
      </x:c>
    </x:row>
    <x:row r="79">
      <x:c r="A79" s="99" t="n">
        <x:v>46261</x:v>
      </x:c>
      <x:c r="B79" s="47" t="str">
        <x:v>M-2033</x:v>
      </x:c>
      <x:c r="C79" s="47" t="str">
        <x:v>QLD</x:v>
      </x:c>
      <x:c r="D79" s="47" t="str">
        <x:v>Mobility</x:v>
      </x:c>
      <x:c r="E79" s="47" t="n">
        <x:v>3</x:v>
      </x:c>
      <x:c r="F79" s="47" t="n">
        <x:v>90</x:v>
      </x:c>
      <x:c r="G79" s="47" t="str">
        <x:v>Yes</x:v>
      </x:c>
      <x:c r="H79" s="48" t="str">
        <x:v>Android</x:v>
      </x:c>
    </x:row>
    <x:row r="80">
      <x:c r="A80" s="99" t="n">
        <x:v>46263</x:v>
      </x:c>
      <x:c r="B80" s="47" t="str">
        <x:v>M-2034</x:v>
      </x:c>
      <x:c r="C80" s="47" t="str">
        <x:v>VIC</x:v>
      </x:c>
      <x:c r="D80" s="47" t="str">
        <x:v>Mindfulness</x:v>
      </x:c>
      <x:c r="E80" s="47" t="n">
        <x:v>4</x:v>
      </x:c>
      <x:c r="F80" s="47" t="n">
        <x:v>132</x:v>
      </x:c>
      <x:c r="G80" s="47" t="str">
        <x:v>No</x:v>
      </x:c>
      <x:c r="H80" s="48" t="str">
        <x:v>iOS</x:v>
      </x:c>
    </x:row>
    <x:row r="81">
      <x:c r="A81" s="99" t="n">
        <x:v>46265</x:v>
      </x:c>
      <x:c r="B81" s="47" t="str">
        <x:v>M-2035</x:v>
      </x:c>
      <x:c r="C81" s="47" t="str">
        <x:v>NSW</x:v>
      </x:c>
      <x:c r="D81" s="47" t="str">
        <x:v>Cardio</x:v>
      </x:c>
      <x:c r="E81" s="47" t="n">
        <x:v>1</x:v>
      </x:c>
      <x:c r="F81" s="47" t="n">
        <x:v>36</x:v>
      </x:c>
      <x:c r="G81" s="47" t="str">
        <x:v>Yes</x:v>
      </x:c>
      <x:c r="H81" s="48" t="str">
        <x:v>Web</x:v>
      </x:c>
    </x:row>
    <x:row r="82">
      <x:c r="A82" s="99" t="n">
        <x:v>46267</x:v>
      </x:c>
      <x:c r="B82" s="47" t="str">
        <x:v>M-2036</x:v>
      </x:c>
      <x:c r="C82" s="47" t="str">
        <x:v>NZ</x:v>
      </x:c>
      <x:c r="D82" s="47" t="str">
        <x:v>Strength</x:v>
      </x:c>
      <x:c r="E82" s="47" t="n">
        <x:v>2</x:v>
      </x:c>
      <x:c r="F82" s="47" t="n">
        <x:v>36</x:v>
      </x:c>
      <x:c r="G82" s="47" t="str">
        <x:v>Yes</x:v>
      </x:c>
      <x:c r="H82" s="48" t="str">
        <x:v>Android</x:v>
      </x:c>
    </x:row>
    <x:row r="83">
      <x:c r="A83" s="99" t="n">
        <x:v>46269</x:v>
      </x:c>
      <x:c r="B83" s="47" t="str">
        <x:v>M-2037</x:v>
      </x:c>
      <x:c r="C83" s="47" t="str">
        <x:v>QLD</x:v>
      </x:c>
      <x:c r="D83" s="47" t="str">
        <x:v>Mobility</x:v>
      </x:c>
      <x:c r="E83" s="47" t="n">
        <x:v>3</x:v>
      </x:c>
      <x:c r="F83" s="47" t="n">
        <x:v>63</x:v>
      </x:c>
      <x:c r="G83" s="47" t="str">
        <x:v>Yes</x:v>
      </x:c>
      <x:c r="H83" s="48" t="str">
        <x:v>iOS</x:v>
      </x:c>
    </x:row>
    <x:row r="84">
      <x:c r="A84" s="99" t="n">
        <x:v>46271</x:v>
      </x:c>
      <x:c r="B84" s="47" t="str">
        <x:v>M-2038</x:v>
      </x:c>
      <x:c r="C84" s="47" t="str">
        <x:v>VIC</x:v>
      </x:c>
      <x:c r="D84" s="47" t="str">
        <x:v>Mindfulness</x:v>
      </x:c>
      <x:c r="E84" s="47" t="n">
        <x:v>4</x:v>
      </x:c>
      <x:c r="F84" s="47" t="n">
        <x:v>96</x:v>
      </x:c>
      <x:c r="G84" s="47" t="str">
        <x:v>Yes</x:v>
      </x:c>
      <x:c r="H84" s="48" t="str">
        <x:v>Web</x:v>
      </x:c>
    </x:row>
    <x:row r="85">
      <x:c r="A85" s="99" t="n">
        <x:v>46273</x:v>
      </x:c>
      <x:c r="B85" s="47" t="str">
        <x:v>M-2039</x:v>
      </x:c>
      <x:c r="C85" s="47" t="str">
        <x:v>NSW</x:v>
      </x:c>
      <x:c r="D85" s="47" t="str">
        <x:v>Cardio</x:v>
      </x:c>
      <x:c r="E85" s="47" t="n">
        <x:v>1</x:v>
      </x:c>
      <x:c r="F85" s="47" t="n">
        <x:v>27</x:v>
      </x:c>
      <x:c r="G85" s="47" t="str">
        <x:v>No</x:v>
      </x:c>
      <x:c r="H85" s="48" t="str">
        <x:v>Android</x:v>
      </x:c>
    </x:row>
    <x:row r="86">
      <x:c r="A86" s="99" t="n">
        <x:v>46275</x:v>
      </x:c>
      <x:c r="B86" s="47" t="str">
        <x:v>M-2040</x:v>
      </x:c>
      <x:c r="C86" s="47" t="str">
        <x:v>NZ</x:v>
      </x:c>
      <x:c r="D86" s="47" t="str">
        <x:v>Strength</x:v>
      </x:c>
      <x:c r="E86" s="47" t="n">
        <x:v>2</x:v>
      </x:c>
      <x:c r="F86" s="47" t="n">
        <x:v>60</x:v>
      </x:c>
      <x:c r="G86" s="47" t="str">
        <x:v>Yes</x:v>
      </x:c>
      <x:c r="H86" s="48" t="str">
        <x:v>iOS</x:v>
      </x:c>
    </x:row>
    <x:row r="87">
      <x:c r="A87" s="99" t="n">
        <x:v>46277</x:v>
      </x:c>
      <x:c r="B87" s="47" t="str">
        <x:v>M-2041</x:v>
      </x:c>
      <x:c r="C87" s="47" t="str">
        <x:v>QLD</x:v>
      </x:c>
      <x:c r="D87" s="47" t="str">
        <x:v>Mobility</x:v>
      </x:c>
      <x:c r="E87" s="47" t="n">
        <x:v>3</x:v>
      </x:c>
      <x:c r="F87" s="47" t="n">
        <x:v>99</x:v>
      </x:c>
      <x:c r="G87" s="47" t="str">
        <x:v>Yes</x:v>
      </x:c>
      <x:c r="H87" s="48" t="str">
        <x:v>Web</x:v>
      </x:c>
    </x:row>
    <x:row r="88">
      <x:c r="A88" s="99" t="n">
        <x:v>46279</x:v>
      </x:c>
      <x:c r="B88" s="47" t="str">
        <x:v>M-2042</x:v>
      </x:c>
      <x:c r="C88" s="47" t="str">
        <x:v>VIC</x:v>
      </x:c>
      <x:c r="D88" s="47" t="str">
        <x:v>Mindfulness</x:v>
      </x:c>
      <x:c r="E88" s="47" t="n">
        <x:v>4</x:v>
      </x:c>
      <x:c r="F88" s="47" t="n">
        <x:v>144</x:v>
      </x:c>
      <x:c r="G88" s="47" t="str">
        <x:v>Yes</x:v>
      </x:c>
      <x:c r="H88" s="48" t="str">
        <x:v>Android</x:v>
      </x:c>
    </x:row>
    <x:row r="89">
      <x:c r="A89" s="99" t="n">
        <x:v>46281</x:v>
      </x:c>
      <x:c r="B89" s="47" t="str">
        <x:v>M-2001</x:v>
      </x:c>
      <x:c r="C89" s="47" t="str">
        <x:v>NSW</x:v>
      </x:c>
      <x:c r="D89" s="47" t="str">
        <x:v>Cardio</x:v>
      </x:c>
      <x:c r="E89" s="47" t="n">
        <x:v>1</x:v>
      </x:c>
      <x:c r="F89" s="47" t="n">
        <x:v>18</x:v>
      </x:c>
      <x:c r="G89" s="47" t="str">
        <x:v>Yes</x:v>
      </x:c>
      <x:c r="H89" s="48" t="str">
        <x:v>iOS</x:v>
      </x:c>
    </x:row>
    <x:row r="90">
      <x:c r="A90" s="99" t="n">
        <x:v>46283</x:v>
      </x:c>
      <x:c r="B90" s="47" t="str">
        <x:v>M-2002</x:v>
      </x:c>
      <x:c r="C90" s="47" t="str">
        <x:v>NZ</x:v>
      </x:c>
      <x:c r="D90" s="47" t="str">
        <x:v>Strength</x:v>
      </x:c>
      <x:c r="E90" s="47" t="n">
        <x:v>2</x:v>
      </x:c>
      <x:c r="F90" s="47" t="n">
        <x:v>42</x:v>
      </x:c>
      <x:c r="G90" s="47" t="str">
        <x:v>No</x:v>
      </x:c>
      <x:c r="H90" s="48" t="str">
        <x:v>Web</x:v>
      </x:c>
    </x:row>
    <x:row r="91">
      <x:c r="A91" s="99" t="n">
        <x:v>46285</x:v>
      </x:c>
      <x:c r="B91" s="47" t="str">
        <x:v>M-2003</x:v>
      </x:c>
      <x:c r="C91" s="47" t="str">
        <x:v>QLD</x:v>
      </x:c>
      <x:c r="D91" s="47" t="str">
        <x:v>Mobility</x:v>
      </x:c>
      <x:c r="E91" s="47" t="n">
        <x:v>3</x:v>
      </x:c>
      <x:c r="F91" s="47" t="n">
        <x:v>72</x:v>
      </x:c>
      <x:c r="G91" s="47" t="str">
        <x:v>Yes</x:v>
      </x:c>
      <x:c r="H91" s="48" t="str">
        <x:v>Android</x:v>
      </x:c>
    </x:row>
    <x:row r="92">
      <x:c r="A92" s="99" t="n">
        <x:v>46287</x:v>
      </x:c>
      <x:c r="B92" s="47" t="str">
        <x:v>M-2004</x:v>
      </x:c>
      <x:c r="C92" s="47" t="str">
        <x:v>VIC</x:v>
      </x:c>
      <x:c r="D92" s="47" t="str">
        <x:v>Mindfulness</x:v>
      </x:c>
      <x:c r="E92" s="47" t="n">
        <x:v>4</x:v>
      </x:c>
      <x:c r="F92" s="47" t="n">
        <x:v>108</x:v>
      </x:c>
      <x:c r="G92" s="47" t="str">
        <x:v>Yes</x:v>
      </x:c>
      <x:c r="H92" s="48" t="str">
        <x:v>iOS</x:v>
      </x:c>
    </x:row>
    <x:row r="93">
      <x:c r="A93" s="99" t="n">
        <x:v>46289</x:v>
      </x:c>
      <x:c r="B93" s="47" t="str">
        <x:v>M-2005</x:v>
      </x:c>
      <x:c r="C93" s="47" t="str">
        <x:v>NSW</x:v>
      </x:c>
      <x:c r="D93" s="47" t="str">
        <x:v>Cardio</x:v>
      </x:c>
      <x:c r="E93" s="47" t="n">
        <x:v>1</x:v>
      </x:c>
      <x:c r="F93" s="47" t="n">
        <x:v>30</x:v>
      </x:c>
      <x:c r="G93" s="47" t="str">
        <x:v>Yes</x:v>
      </x:c>
      <x:c r="H93" s="48" t="str">
        <x:v>Web</x:v>
      </x:c>
    </x:row>
    <x:row r="94">
      <x:c r="A94" s="99" t="n">
        <x:v>46291</x:v>
      </x:c>
      <x:c r="B94" s="47" t="str">
        <x:v>M-2006</x:v>
      </x:c>
      <x:c r="C94" s="47" t="str">
        <x:v>NZ</x:v>
      </x:c>
      <x:c r="D94" s="47" t="str">
        <x:v>Strength</x:v>
      </x:c>
      <x:c r="E94" s="47" t="n">
        <x:v>2</x:v>
      </x:c>
      <x:c r="F94" s="47" t="n">
        <x:v>66</x:v>
      </x:c>
      <x:c r="G94" s="47" t="str">
        <x:v>Yes</x:v>
      </x:c>
      <x:c r="H94" s="48" t="str">
        <x:v>Android</x:v>
      </x:c>
    </x:row>
    <x:row r="95">
      <x:c r="A95" s="99" t="n">
        <x:v>46293</x:v>
      </x:c>
      <x:c r="B95" s="47" t="str">
        <x:v>M-2007</x:v>
      </x:c>
      <x:c r="C95" s="47" t="str">
        <x:v>QLD</x:v>
      </x:c>
      <x:c r="D95" s="47" t="str">
        <x:v>Mobility</x:v>
      </x:c>
      <x:c r="E95" s="47" t="n">
        <x:v>3</x:v>
      </x:c>
      <x:c r="F95" s="47" t="n">
        <x:v>108</x:v>
      </x:c>
      <x:c r="G95" s="47" t="str">
        <x:v>No</x:v>
      </x:c>
      <x:c r="H95" s="48" t="str">
        <x:v>iOS</x:v>
      </x:c>
    </x:row>
    <x:row r="96">
      <x:c r="A96" s="99" t="n">
        <x:v>46295</x:v>
      </x:c>
      <x:c r="B96" s="47" t="str">
        <x:v>M-2008</x:v>
      </x:c>
      <x:c r="C96" s="47" t="str">
        <x:v>VIC</x:v>
      </x:c>
      <x:c r="D96" s="47" t="str">
        <x:v>Mindfulness</x:v>
      </x:c>
      <x:c r="E96" s="47" t="n">
        <x:v>4</x:v>
      </x:c>
      <x:c r="F96" s="47" t="n">
        <x:v>72</x:v>
      </x:c>
      <x:c r="G96" s="47" t="str">
        <x:v>Yes</x:v>
      </x:c>
      <x:c r="H96" s="48" t="str">
        <x:v>Web</x:v>
      </x:c>
    </x:row>
    <x:row r="97">
      <x:c r="A97" s="99" t="n">
        <x:v>46236</x:v>
      </x:c>
      <x:c r="B97" s="47" t="str">
        <x:v>M-2009</x:v>
      </x:c>
      <x:c r="C97" s="47" t="str">
        <x:v>NSW</x:v>
      </x:c>
      <x:c r="D97" s="47" t="str">
        <x:v>Cardio</x:v>
      </x:c>
      <x:c r="E97" s="47" t="n">
        <x:v>1</x:v>
      </x:c>
      <x:c r="F97" s="47" t="n">
        <x:v>21</x:v>
      </x:c>
      <x:c r="G97" s="47" t="str">
        <x:v>Yes</x:v>
      </x:c>
      <x:c r="H97" s="48" t="str">
        <x:v>Android</x:v>
      </x:c>
    </x:row>
    <x:row r="98">
      <x:c r="A98" s="99" t="n">
        <x:v>46238</x:v>
      </x:c>
      <x:c r="B98" s="47" t="str">
        <x:v>M-2010</x:v>
      </x:c>
      <x:c r="C98" s="47" t="str">
        <x:v>NZ</x:v>
      </x:c>
      <x:c r="D98" s="47" t="str">
        <x:v>Strength</x:v>
      </x:c>
      <x:c r="E98" s="47" t="n">
        <x:v>2</x:v>
      </x:c>
      <x:c r="F98" s="47" t="n">
        <x:v>48</x:v>
      </x:c>
      <x:c r="G98" s="47" t="str">
        <x:v>Yes</x:v>
      </x:c>
      <x:c r="H98" s="48" t="str">
        <x:v>iOS</x:v>
      </x:c>
    </x:row>
    <x:row r="99">
      <x:c r="A99" s="99" t="n">
        <x:v>46240</x:v>
      </x:c>
      <x:c r="B99" s="47" t="str">
        <x:v>M-2011</x:v>
      </x:c>
      <x:c r="C99" s="47" t="str">
        <x:v>QLD</x:v>
      </x:c>
      <x:c r="D99" s="47" t="str">
        <x:v>Mobility</x:v>
      </x:c>
      <x:c r="E99" s="47" t="n">
        <x:v>3</x:v>
      </x:c>
      <x:c r="F99" s="47" t="n">
        <x:v>81</x:v>
      </x:c>
      <x:c r="G99" s="47" t="str">
        <x:v>Yes</x:v>
      </x:c>
      <x:c r="H99" s="48" t="str">
        <x:v>Web</x:v>
      </x:c>
    </x:row>
    <x:row r="100">
      <x:c r="A100" s="100" t="n">
        <x:v>46242</x:v>
      </x:c>
      <x:c r="B100" s="50" t="str">
        <x:v>M-2012</x:v>
      </x:c>
      <x:c r="C100" s="50" t="str">
        <x:v>VIC</x:v>
      </x:c>
      <x:c r="D100" s="50" t="str">
        <x:v>Mindfulness</x:v>
      </x:c>
      <x:c r="E100" s="50" t="n">
        <x:v>4</x:v>
      </x:c>
      <x:c r="F100" s="50" t="n">
        <x:v>120</x:v>
      </x:c>
      <x:c r="G100" s="50" t="str">
        <x:v>No</x:v>
      </x:c>
      <x:c r="H100" s="53" t="str">
        <x:v>Android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611dc4e400d433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2" hidden="0" customWidth="1"/>
    <x:col min="5" max="5" width="12" hidden="0" customWidth="1"/>
    <x:col min="6" max="6" width="18" hidden="0" customWidth="1"/>
    <x:col min="7" max="7" width="12" hidden="0" customWidth="1"/>
  </x:cols>
  <x:sheetData>
    <x:row r="1" ht="28" customHeight="1">
      <x:c r="A1" s="4" t="str">
        <x:v>Zava Team Challenge Support Tickets</x:v>
      </x:c>
      <x:c r="B1" s="4"/>
      <x:c r="C1" s="4"/>
      <x:c r="D1" s="4"/>
      <x:c r="E1" s="4"/>
      <x:c r="F1" s="4"/>
      <x:c r="G1" s="4"/>
    </x:row>
    <x:row r="2" ht="34" customHeight="1">
      <x:c r="A2" s="10" t="str">
        <x:v>Use the same formula-generation pattern to summarize support demand by month and category.</x:v>
      </x:c>
      <x:c r="B2" s="10"/>
      <x:c r="C2" s="10"/>
      <x:c r="D2" s="10"/>
      <x:c r="E2" s="10"/>
      <x:c r="F2" s="10"/>
      <x:c r="G2" s="10"/>
    </x:row>
    <x:row r="4">
      <x:c r="A4" s="24" t="str">
        <x:v>Ticket ID</x:v>
      </x:c>
      <x:c r="B4" s="25" t="str">
        <x:v>Open Date</x:v>
      </x:c>
      <x:c r="C4" s="25" t="str">
        <x:v>Month</x:v>
      </x:c>
      <x:c r="D4" s="25" t="str">
        <x:v>Category</x:v>
      </x:c>
      <x:c r="E4" s="25" t="str">
        <x:v>Severity</x:v>
      </x:c>
      <x:c r="F4" s="25" t="str">
        <x:v>Resolution Hours</x:v>
      </x:c>
      <x:c r="G4" s="26" t="str">
        <x:v>Status</x:v>
      </x:c>
    </x:row>
    <x:row r="5">
      <x:c r="A5" s="46" t="str">
        <x:v>T-5001</x:v>
      </x:c>
      <x:c r="B5" s="42" t="n">
        <x:v>46235</x:v>
      </x:c>
      <x:c r="C5" s="47" t="str">
        <x:v>Aug 2026</x:v>
      </x:c>
      <x:c r="D5" s="47" t="str">
        <x:v>Notifications</x:v>
      </x:c>
      <x:c r="E5" s="47" t="str">
        <x:v>Medium</x:v>
      </x:c>
      <x:c r="F5" s="47" t="n">
        <x:v>2</x:v>
      </x:c>
      <x:c r="G5" s="48" t="str">
        <x:v>Open</x:v>
      </x:c>
    </x:row>
    <x:row r="6">
      <x:c r="A6" s="46" t="str">
        <x:v>T-5002</x:v>
      </x:c>
      <x:c r="B6" s="42" t="n">
        <x:v>46238</x:v>
      </x:c>
      <x:c r="C6" s="47" t="str">
        <x:v>Aug 2026</x:v>
      </x:c>
      <x:c r="D6" s="47" t="str">
        <x:v>Activity Sync</x:v>
      </x:c>
      <x:c r="E6" s="47" t="str">
        <x:v>Medium</x:v>
      </x:c>
      <x:c r="F6" s="47" t="n">
        <x:v>3</x:v>
      </x:c>
      <x:c r="G6" s="48" t="str">
        <x:v>Closed</x:v>
      </x:c>
    </x:row>
    <x:row r="7">
      <x:c r="A7" s="46" t="str">
        <x:v>T-5003</x:v>
      </x:c>
      <x:c r="B7" s="42" t="n">
        <x:v>46241</x:v>
      </x:c>
      <x:c r="C7" s="47" t="str">
        <x:v>Aug 2026</x:v>
      </x:c>
      <x:c r="D7" s="47" t="str">
        <x:v>Privacy Question</x:v>
      </x:c>
      <x:c r="E7" s="47" t="str">
        <x:v>High</x:v>
      </x:c>
      <x:c r="F7" s="47" t="n">
        <x:v>4</x:v>
      </x:c>
      <x:c r="G7" s="48" t="str">
        <x:v>Closed</x:v>
      </x:c>
    </x:row>
    <x:row r="8">
      <x:c r="A8" s="46" t="str">
        <x:v>T-5004</x:v>
      </x:c>
      <x:c r="B8" s="42" t="n">
        <x:v>46244</x:v>
      </x:c>
      <x:c r="C8" s="47" t="str">
        <x:v>Aug 2026</x:v>
      </x:c>
      <x:c r="D8" s="47" t="str">
        <x:v>Notifications</x:v>
      </x:c>
      <x:c r="E8" s="47" t="str">
        <x:v>Medium</x:v>
      </x:c>
      <x:c r="F8" s="47" t="n">
        <x:v>5</x:v>
      </x:c>
      <x:c r="G8" s="48" t="str">
        <x:v>Closed</x:v>
      </x:c>
    </x:row>
    <x:row r="9">
      <x:c r="A9" s="46" t="str">
        <x:v>T-5005</x:v>
      </x:c>
      <x:c r="B9" s="42" t="n">
        <x:v>46247</x:v>
      </x:c>
      <x:c r="C9" s="47" t="str">
        <x:v>Aug 2026</x:v>
      </x:c>
      <x:c r="D9" s="47" t="str">
        <x:v>Challenge Setup</x:v>
      </x:c>
      <x:c r="E9" s="47" t="str">
        <x:v>Medium</x:v>
      </x:c>
      <x:c r="F9" s="47" t="n">
        <x:v>6</x:v>
      </x:c>
      <x:c r="G9" s="48" t="str">
        <x:v>Closed</x:v>
      </x:c>
    </x:row>
    <x:row r="10">
      <x:c r="A10" s="46" t="str">
        <x:v>T-5006</x:v>
      </x:c>
      <x:c r="B10" s="42" t="n">
        <x:v>46250</x:v>
      </x:c>
      <x:c r="C10" s="47" t="str">
        <x:v>Aug 2026</x:v>
      </x:c>
      <x:c r="D10" s="47" t="str">
        <x:v>Access / Login</x:v>
      </x:c>
      <x:c r="E10" s="47" t="str">
        <x:v>High</x:v>
      </x:c>
      <x:c r="F10" s="47" t="n">
        <x:v>7</x:v>
      </x:c>
      <x:c r="G10" s="48" t="str">
        <x:v>Closed</x:v>
      </x:c>
    </x:row>
    <x:row r="11">
      <x:c r="A11" s="46" t="str">
        <x:v>T-5007</x:v>
      </x:c>
      <x:c r="B11" s="42" t="n">
        <x:v>46253</x:v>
      </x:c>
      <x:c r="C11" s="47" t="str">
        <x:v>Aug 2026</x:v>
      </x:c>
      <x:c r="D11" s="47" t="str">
        <x:v>Activity Sync</x:v>
      </x:c>
      <x:c r="E11" s="47" t="str">
        <x:v>Low</x:v>
      </x:c>
      <x:c r="F11" s="47" t="n">
        <x:v>2</x:v>
      </x:c>
      <x:c r="G11" s="48" t="str">
        <x:v>Closed</x:v>
      </x:c>
    </x:row>
    <x:row r="12">
      <x:c r="A12" s="46" t="str">
        <x:v>T-5008</x:v>
      </x:c>
      <x:c r="B12" s="42" t="n">
        <x:v>46256</x:v>
      </x:c>
      <x:c r="C12" s="47" t="str">
        <x:v>Aug 2026</x:v>
      </x:c>
      <x:c r="D12" s="47" t="str">
        <x:v>Access / Login</x:v>
      </x:c>
      <x:c r="E12" s="47" t="str">
        <x:v>Medium</x:v>
      </x:c>
      <x:c r="F12" s="47" t="n">
        <x:v>3</x:v>
      </x:c>
      <x:c r="G12" s="48" t="str">
        <x:v>Closed</x:v>
      </x:c>
    </x:row>
    <x:row r="13">
      <x:c r="A13" s="46" t="str">
        <x:v>T-5009</x:v>
      </x:c>
      <x:c r="B13" s="42" t="n">
        <x:v>46259</x:v>
      </x:c>
      <x:c r="C13" s="47" t="str">
        <x:v>Aug 2026</x:v>
      </x:c>
      <x:c r="D13" s="47" t="str">
        <x:v>Notifications</x:v>
      </x:c>
      <x:c r="E13" s="47" t="str">
        <x:v>Low</x:v>
      </x:c>
      <x:c r="F13" s="47" t="n">
        <x:v>4</x:v>
      </x:c>
      <x:c r="G13" s="48" t="str">
        <x:v>Open</x:v>
      </x:c>
    </x:row>
    <x:row r="14">
      <x:c r="A14" s="46" t="str">
        <x:v>T-5010</x:v>
      </x:c>
      <x:c r="B14" s="42" t="n">
        <x:v>46262</x:v>
      </x:c>
      <x:c r="C14" s="47" t="str">
        <x:v>Aug 2026</x:v>
      </x:c>
      <x:c r="D14" s="47" t="str">
        <x:v>Challenge Setup</x:v>
      </x:c>
      <x:c r="E14" s="47" t="str">
        <x:v>Low</x:v>
      </x:c>
      <x:c r="F14" s="47" t="n">
        <x:v>5</x:v>
      </x:c>
      <x:c r="G14" s="48" t="str">
        <x:v>Closed</x:v>
      </x:c>
    </x:row>
    <x:row r="15">
      <x:c r="A15" s="46" t="str">
        <x:v>T-5011</x:v>
      </x:c>
      <x:c r="B15" s="42" t="n">
        <x:v>46265</x:v>
      </x:c>
      <x:c r="C15" s="47" t="str">
        <x:v>Aug 2026</x:v>
      </x:c>
      <x:c r="D15" s="47" t="str">
        <x:v>Access / Login</x:v>
      </x:c>
      <x:c r="E15" s="47" t="str">
        <x:v>Medium</x:v>
      </x:c>
      <x:c r="F15" s="47" t="n">
        <x:v>6</x:v>
      </x:c>
      <x:c r="G15" s="48" t="str">
        <x:v>Closed</x:v>
      </x:c>
    </x:row>
    <x:row r="16">
      <x:c r="A16" s="46" t="str">
        <x:v>T-5012</x:v>
      </x:c>
      <x:c r="B16" s="42" t="n">
        <x:v>46268</x:v>
      </x:c>
      <x:c r="C16" s="47" t="str">
        <x:v>Sep 2026</x:v>
      </x:c>
      <x:c r="D16" s="47" t="str">
        <x:v>Activity Sync</x:v>
      </x:c>
      <x:c r="E16" s="47" t="str">
        <x:v>High</x:v>
      </x:c>
      <x:c r="F16" s="47" t="n">
        <x:v>7</x:v>
      </x:c>
      <x:c r="G16" s="48" t="str">
        <x:v>Closed</x:v>
      </x:c>
    </x:row>
    <x:row r="17">
      <x:c r="A17" s="46" t="str">
        <x:v>T-5013</x:v>
      </x:c>
      <x:c r="B17" s="42" t="n">
        <x:v>46271</x:v>
      </x:c>
      <x:c r="C17" s="47" t="str">
        <x:v>Sep 2026</x:v>
      </x:c>
      <x:c r="D17" s="47" t="str">
        <x:v>Privacy Question</x:v>
      </x:c>
      <x:c r="E17" s="47" t="str">
        <x:v>Low</x:v>
      </x:c>
      <x:c r="F17" s="47" t="n">
        <x:v>2</x:v>
      </x:c>
      <x:c r="G17" s="48" t="str">
        <x:v>Closed</x:v>
      </x:c>
    </x:row>
    <x:row r="18">
      <x:c r="A18" s="46" t="str">
        <x:v>T-5014</x:v>
      </x:c>
      <x:c r="B18" s="42" t="n">
        <x:v>46274</x:v>
      </x:c>
      <x:c r="C18" s="47" t="str">
        <x:v>Sep 2026</x:v>
      </x:c>
      <x:c r="D18" s="47" t="str">
        <x:v>Notifications</x:v>
      </x:c>
      <x:c r="E18" s="47" t="str">
        <x:v>High</x:v>
      </x:c>
      <x:c r="F18" s="47" t="n">
        <x:v>10</x:v>
      </x:c>
      <x:c r="G18" s="48" t="str">
        <x:v>Closed</x:v>
      </x:c>
    </x:row>
    <x:row r="19">
      <x:c r="A19" s="46" t="str">
        <x:v>T-5015</x:v>
      </x:c>
      <x:c r="B19" s="42" t="n">
        <x:v>46277</x:v>
      </x:c>
      <x:c r="C19" s="47" t="str">
        <x:v>Sep 2026</x:v>
      </x:c>
      <x:c r="D19" s="47" t="str">
        <x:v>Privacy Question</x:v>
      </x:c>
      <x:c r="E19" s="47" t="str">
        <x:v>High</x:v>
      </x:c>
      <x:c r="F19" s="47" t="n">
        <x:v>4</x:v>
      </x:c>
      <x:c r="G19" s="48" t="str">
        <x:v>Closed</x:v>
      </x:c>
    </x:row>
    <x:row r="20">
      <x:c r="A20" s="46" t="str">
        <x:v>T-5016</x:v>
      </x:c>
      <x:c r="B20" s="42" t="n">
        <x:v>46280</x:v>
      </x:c>
      <x:c r="C20" s="47" t="str">
        <x:v>Sep 2026</x:v>
      </x:c>
      <x:c r="D20" s="47" t="str">
        <x:v>Access / Login</x:v>
      </x:c>
      <x:c r="E20" s="47" t="str">
        <x:v>Low</x:v>
      </x:c>
      <x:c r="F20" s="47" t="n">
        <x:v>5</x:v>
      </x:c>
      <x:c r="G20" s="48" t="str">
        <x:v>Closed</x:v>
      </x:c>
    </x:row>
    <x:row r="21">
      <x:c r="A21" s="46" t="str">
        <x:v>T-5017</x:v>
      </x:c>
      <x:c r="B21" s="42" t="n">
        <x:v>46283</x:v>
      </x:c>
      <x:c r="C21" s="47" t="str">
        <x:v>Sep 2026</x:v>
      </x:c>
      <x:c r="D21" s="47" t="str">
        <x:v>Activity Sync</x:v>
      </x:c>
      <x:c r="E21" s="47" t="str">
        <x:v>Medium</x:v>
      </x:c>
      <x:c r="F21" s="47" t="n">
        <x:v>6</x:v>
      </x:c>
      <x:c r="G21" s="48" t="str">
        <x:v>Open</x:v>
      </x:c>
    </x:row>
    <x:row r="22">
      <x:c r="A22" s="46" t="str">
        <x:v>T-5018</x:v>
      </x:c>
      <x:c r="B22" s="42" t="n">
        <x:v>46286</x:v>
      </x:c>
      <x:c r="C22" s="47" t="str">
        <x:v>Sep 2026</x:v>
      </x:c>
      <x:c r="D22" s="47" t="str">
        <x:v>Privacy Question</x:v>
      </x:c>
      <x:c r="E22" s="47" t="str">
        <x:v>High</x:v>
      </x:c>
      <x:c r="F22" s="47" t="n">
        <x:v>7</x:v>
      </x:c>
      <x:c r="G22" s="48" t="str">
        <x:v>Closed</x:v>
      </x:c>
    </x:row>
    <x:row r="23">
      <x:c r="A23" s="46" t="str">
        <x:v>T-5019</x:v>
      </x:c>
      <x:c r="B23" s="42" t="n">
        <x:v>46289</x:v>
      </x:c>
      <x:c r="C23" s="47" t="str">
        <x:v>Sep 2026</x:v>
      </x:c>
      <x:c r="D23" s="47" t="str">
        <x:v>Notifications</x:v>
      </x:c>
      <x:c r="E23" s="47" t="str">
        <x:v>Medium</x:v>
      </x:c>
      <x:c r="F23" s="47" t="n">
        <x:v>9</x:v>
      </x:c>
      <x:c r="G23" s="48" t="str">
        <x:v>Closed</x:v>
      </x:c>
    </x:row>
    <x:row r="24">
      <x:c r="A24" s="46" t="str">
        <x:v>T-5020</x:v>
      </x:c>
      <x:c r="B24" s="42" t="n">
        <x:v>46292</x:v>
      </x:c>
      <x:c r="C24" s="47" t="str">
        <x:v>Sep 2026</x:v>
      </x:c>
      <x:c r="D24" s="47" t="str">
        <x:v>Challenge Setup</x:v>
      </x:c>
      <x:c r="E24" s="47" t="str">
        <x:v>Medium</x:v>
      </x:c>
      <x:c r="F24" s="47" t="n">
        <x:v>3</x:v>
      </x:c>
      <x:c r="G24" s="48" t="str">
        <x:v>Closed</x:v>
      </x:c>
    </x:row>
    <x:row r="25">
      <x:c r="A25" s="46" t="str">
        <x:v>T-5021</x:v>
      </x:c>
      <x:c r="B25" s="42" t="n">
        <x:v>46295</x:v>
      </x:c>
      <x:c r="C25" s="47" t="str">
        <x:v>Sep 2026</x:v>
      </x:c>
      <x:c r="D25" s="47" t="str">
        <x:v>Access / Login</x:v>
      </x:c>
      <x:c r="E25" s="47" t="str">
        <x:v>High</x:v>
      </x:c>
      <x:c r="F25" s="47" t="n">
        <x:v>4</x:v>
      </x:c>
      <x:c r="G25" s="48" t="str">
        <x:v>Closed</x:v>
      </x:c>
    </x:row>
    <x:row r="26">
      <x:c r="A26" s="46" t="str">
        <x:v>T-5022</x:v>
      </x:c>
      <x:c r="B26" s="42" t="n">
        <x:v>46237</x:v>
      </x:c>
      <x:c r="C26" s="47" t="str">
        <x:v>Aug 2026</x:v>
      </x:c>
      <x:c r="D26" s="47" t="str">
        <x:v>Challenge Setup</x:v>
      </x:c>
      <x:c r="E26" s="47" t="str">
        <x:v>Low</x:v>
      </x:c>
      <x:c r="F26" s="47" t="n">
        <x:v>5</x:v>
      </x:c>
      <x:c r="G26" s="48" t="str">
        <x:v>Closed</x:v>
      </x:c>
    </x:row>
    <x:row r="27">
      <x:c r="A27" s="46" t="str">
        <x:v>T-5023</x:v>
      </x:c>
      <x:c r="B27" s="42" t="n">
        <x:v>46240</x:v>
      </x:c>
      <x:c r="C27" s="47" t="str">
        <x:v>Aug 2026</x:v>
      </x:c>
      <x:c r="D27" s="47" t="str">
        <x:v>Privacy Question</x:v>
      </x:c>
      <x:c r="E27" s="47" t="str">
        <x:v>Medium</x:v>
      </x:c>
      <x:c r="F27" s="47" t="n">
        <x:v>6</x:v>
      </x:c>
      <x:c r="G27" s="48" t="str">
        <x:v>Closed</x:v>
      </x:c>
    </x:row>
    <x:row r="28">
      <x:c r="A28" s="46" t="str">
        <x:v>T-5024</x:v>
      </x:c>
      <x:c r="B28" s="42" t="n">
        <x:v>46243</x:v>
      </x:c>
      <x:c r="C28" s="47" t="str">
        <x:v>Aug 2026</x:v>
      </x:c>
      <x:c r="D28" s="47" t="str">
        <x:v>Notifications</x:v>
      </x:c>
      <x:c r="E28" s="47" t="str">
        <x:v>Low</x:v>
      </x:c>
      <x:c r="F28" s="47" t="n">
        <x:v>7</x:v>
      </x:c>
      <x:c r="G28" s="48" t="str">
        <x:v>Closed</x:v>
      </x:c>
    </x:row>
    <x:row r="29">
      <x:c r="A29" s="46" t="str">
        <x:v>T-5025</x:v>
      </x:c>
      <x:c r="B29" s="42" t="n">
        <x:v>46246</x:v>
      </x:c>
      <x:c r="C29" s="47" t="str">
        <x:v>Aug 2026</x:v>
      </x:c>
      <x:c r="D29" s="47" t="str">
        <x:v>Challenge Setup</x:v>
      </x:c>
      <x:c r="E29" s="47" t="str">
        <x:v>Low</x:v>
      </x:c>
      <x:c r="F29" s="47" t="n">
        <x:v>2</x:v>
      </x:c>
      <x:c r="G29" s="48" t="str">
        <x:v>Open</x:v>
      </x:c>
    </x:row>
    <x:row r="30">
      <x:c r="A30" s="46" t="str">
        <x:v>T-5026</x:v>
      </x:c>
      <x:c r="B30" s="42" t="n">
        <x:v>46249</x:v>
      </x:c>
      <x:c r="C30" s="47" t="str">
        <x:v>Aug 2026</x:v>
      </x:c>
      <x:c r="D30" s="47" t="str">
        <x:v>Access / Login</x:v>
      </x:c>
      <x:c r="E30" s="47" t="str">
        <x:v>Medium</x:v>
      </x:c>
      <x:c r="F30" s="47" t="n">
        <x:v>3</x:v>
      </x:c>
      <x:c r="G30" s="48" t="str">
        <x:v>Closed</x:v>
      </x:c>
    </x:row>
    <x:row r="31">
      <x:c r="A31" s="46" t="str">
        <x:v>T-5027</x:v>
      </x:c>
      <x:c r="B31" s="42" t="n">
        <x:v>46252</x:v>
      </x:c>
      <x:c r="C31" s="47" t="str">
        <x:v>Aug 2026</x:v>
      </x:c>
      <x:c r="D31" s="47" t="str">
        <x:v>Activity Sync</x:v>
      </x:c>
      <x:c r="E31" s="47" t="str">
        <x:v>High</x:v>
      </x:c>
      <x:c r="F31" s="47" t="n">
        <x:v>4</x:v>
      </x:c>
      <x:c r="G31" s="48" t="str">
        <x:v>Closed</x:v>
      </x:c>
    </x:row>
    <x:row r="32">
      <x:c r="A32" s="46" t="str">
        <x:v>T-5028</x:v>
      </x:c>
      <x:c r="B32" s="42" t="n">
        <x:v>46255</x:v>
      </x:c>
      <x:c r="C32" s="47" t="str">
        <x:v>Aug 2026</x:v>
      </x:c>
      <x:c r="D32" s="47" t="str">
        <x:v>Privacy Question</x:v>
      </x:c>
      <x:c r="E32" s="47" t="str">
        <x:v>Low</x:v>
      </x:c>
      <x:c r="F32" s="47" t="n">
        <x:v>5</x:v>
      </x:c>
      <x:c r="G32" s="48" t="str">
        <x:v>Closed</x:v>
      </x:c>
    </x:row>
    <x:row r="33">
      <x:c r="A33" s="46" t="str">
        <x:v>T-5029</x:v>
      </x:c>
      <x:c r="B33" s="42" t="n">
        <x:v>46258</x:v>
      </x:c>
      <x:c r="C33" s="47" t="str">
        <x:v>Aug 2026</x:v>
      </x:c>
      <x:c r="D33" s="47" t="str">
        <x:v>Activity Sync</x:v>
      </x:c>
      <x:c r="E33" s="47" t="str">
        <x:v>Medium</x:v>
      </x:c>
      <x:c r="F33" s="47" t="n">
        <x:v>6</x:v>
      </x:c>
      <x:c r="G33" s="48" t="str">
        <x:v>Closed</x:v>
      </x:c>
    </x:row>
    <x:row r="34">
      <x:c r="A34" s="46" t="str">
        <x:v>T-5030</x:v>
      </x:c>
      <x:c r="B34" s="42" t="n">
        <x:v>46261</x:v>
      </x:c>
      <x:c r="C34" s="47" t="str">
        <x:v>Aug 2026</x:v>
      </x:c>
      <x:c r="D34" s="47" t="str">
        <x:v>Challenge Setup</x:v>
      </x:c>
      <x:c r="E34" s="47" t="str">
        <x:v>High</x:v>
      </x:c>
      <x:c r="F34" s="47" t="n">
        <x:v>7</x:v>
      </x:c>
      <x:c r="G34" s="48" t="str">
        <x:v>Closed</x:v>
      </x:c>
    </x:row>
    <x:row r="35">
      <x:c r="A35" s="46" t="str">
        <x:v>T-5031</x:v>
      </x:c>
      <x:c r="B35" s="42" t="n">
        <x:v>46264</x:v>
      </x:c>
      <x:c r="C35" s="47" t="str">
        <x:v>Aug 2026</x:v>
      </x:c>
      <x:c r="D35" s="47" t="str">
        <x:v>Access / Login</x:v>
      </x:c>
      <x:c r="E35" s="47" t="str">
        <x:v>Low</x:v>
      </x:c>
      <x:c r="F35" s="47" t="n">
        <x:v>2</x:v>
      </x:c>
      <x:c r="G35" s="48" t="str">
        <x:v>Closed</x:v>
      </x:c>
    </x:row>
    <x:row r="36">
      <x:c r="A36" s="46" t="str">
        <x:v>T-5032</x:v>
      </x:c>
      <x:c r="B36" s="42" t="n">
        <x:v>46267</x:v>
      </x:c>
      <x:c r="C36" s="47" t="str">
        <x:v>Sep 2026</x:v>
      </x:c>
      <x:c r="D36" s="47" t="str">
        <x:v>Activity Sync</x:v>
      </x:c>
      <x:c r="E36" s="47" t="str">
        <x:v>Medium</x:v>
      </x:c>
      <x:c r="F36" s="47" t="n">
        <x:v>3</x:v>
      </x:c>
      <x:c r="G36" s="48" t="str">
        <x:v>Closed</x:v>
      </x:c>
    </x:row>
    <x:row r="37">
      <x:c r="A37" s="46" t="str">
        <x:v>T-5033</x:v>
      </x:c>
      <x:c r="B37" s="42" t="n">
        <x:v>46270</x:v>
      </x:c>
      <x:c r="C37" s="47" t="str">
        <x:v>Sep 2026</x:v>
      </x:c>
      <x:c r="D37" s="47" t="str">
        <x:v>Privacy Question</x:v>
      </x:c>
      <x:c r="E37" s="47" t="str">
        <x:v>High</x:v>
      </x:c>
      <x:c r="F37" s="47" t="n">
        <x:v>4</x:v>
      </x:c>
      <x:c r="G37" s="48" t="str">
        <x:v>Open</x:v>
      </x:c>
    </x:row>
    <x:row r="38">
      <x:c r="A38" s="46" t="str">
        <x:v>T-5034</x:v>
      </x:c>
      <x:c r="B38" s="42" t="n">
        <x:v>46273</x:v>
      </x:c>
      <x:c r="C38" s="47" t="str">
        <x:v>Sep 2026</x:v>
      </x:c>
      <x:c r="D38" s="47" t="str">
        <x:v>Notifications</x:v>
      </x:c>
      <x:c r="E38" s="47" t="str">
        <x:v>Medium</x:v>
      </x:c>
      <x:c r="F38" s="47" t="n">
        <x:v>12</x:v>
      </x:c>
      <x:c r="G38" s="48" t="str">
        <x:v>Closed</x:v>
      </x:c>
    </x:row>
    <x:row r="39">
      <x:c r="A39" s="46" t="str">
        <x:v>T-5035</x:v>
      </x:c>
      <x:c r="B39" s="42" t="n">
        <x:v>46276</x:v>
      </x:c>
      <x:c r="C39" s="47" t="str">
        <x:v>Sep 2026</x:v>
      </x:c>
      <x:c r="D39" s="47" t="str">
        <x:v>Challenge Setup</x:v>
      </x:c>
      <x:c r="E39" s="47" t="str">
        <x:v>Medium</x:v>
      </x:c>
      <x:c r="F39" s="47" t="n">
        <x:v>6</x:v>
      </x:c>
      <x:c r="G39" s="48" t="str">
        <x:v>Closed</x:v>
      </x:c>
    </x:row>
    <x:row r="40">
      <x:c r="A40" s="46" t="str">
        <x:v>T-5036</x:v>
      </x:c>
      <x:c r="B40" s="42" t="n">
        <x:v>46279</x:v>
      </x:c>
      <x:c r="C40" s="47" t="str">
        <x:v>Sep 2026</x:v>
      </x:c>
      <x:c r="D40" s="47" t="str">
        <x:v>Notifications</x:v>
      </x:c>
      <x:c r="E40" s="47" t="str">
        <x:v>Low</x:v>
      </x:c>
      <x:c r="F40" s="47" t="n">
        <x:v>14</x:v>
      </x:c>
      <x:c r="G40" s="48" t="str">
        <x:v>Closed</x:v>
      </x:c>
    </x:row>
    <x:row r="41">
      <x:c r="A41" s="46" t="str">
        <x:v>T-5037</x:v>
      </x:c>
      <x:c r="B41" s="42" t="n">
        <x:v>46282</x:v>
      </x:c>
      <x:c r="C41" s="47" t="str">
        <x:v>Sep 2026</x:v>
      </x:c>
      <x:c r="D41" s="47" t="str">
        <x:v>Activity Sync</x:v>
      </x:c>
      <x:c r="E41" s="47" t="str">
        <x:v>Low</x:v>
      </x:c>
      <x:c r="F41" s="47" t="n">
        <x:v>2</x:v>
      </x:c>
      <x:c r="G41" s="48" t="str">
        <x:v>Closed</x:v>
      </x:c>
    </x:row>
    <x:row r="42">
      <x:c r="A42" s="46" t="str">
        <x:v>T-5038</x:v>
      </x:c>
      <x:c r="B42" s="42" t="n">
        <x:v>46285</x:v>
      </x:c>
      <x:c r="C42" s="47" t="str">
        <x:v>Sep 2026</x:v>
      </x:c>
      <x:c r="D42" s="47" t="str">
        <x:v>Privacy Question</x:v>
      </x:c>
      <x:c r="E42" s="47" t="str">
        <x:v>Medium</x:v>
      </x:c>
      <x:c r="F42" s="47" t="n">
        <x:v>3</x:v>
      </x:c>
      <x:c r="G42" s="48" t="str">
        <x:v>Closed</x:v>
      </x:c>
    </x:row>
    <x:row r="43">
      <x:c r="A43" s="46" t="str">
        <x:v>T-5039</x:v>
      </x:c>
      <x:c r="B43" s="42" t="n">
        <x:v>46288</x:v>
      </x:c>
      <x:c r="C43" s="47" t="str">
        <x:v>Sep 2026</x:v>
      </x:c>
      <x:c r="D43" s="47" t="str">
        <x:v>Notifications</x:v>
      </x:c>
      <x:c r="E43" s="47" t="str">
        <x:v>Low</x:v>
      </x:c>
      <x:c r="F43" s="47" t="n">
        <x:v>11</x:v>
      </x:c>
      <x:c r="G43" s="48" t="str">
        <x:v>Closed</x:v>
      </x:c>
    </x:row>
    <x:row r="44">
      <x:c r="A44" s="46" t="str">
        <x:v>T-5040</x:v>
      </x:c>
      <x:c r="B44" s="42" t="n">
        <x:v>46291</x:v>
      </x:c>
      <x:c r="C44" s="47" t="str">
        <x:v>Sep 2026</x:v>
      </x:c>
      <x:c r="D44" s="47" t="str">
        <x:v>Challenge Setup</x:v>
      </x:c>
      <x:c r="E44" s="47" t="str">
        <x:v>Low</x:v>
      </x:c>
      <x:c r="F44" s="47" t="n">
        <x:v>5</x:v>
      </x:c>
      <x:c r="G44" s="48" t="str">
        <x:v>Closed</x:v>
      </x:c>
    </x:row>
    <x:row r="45">
      <x:c r="A45" s="46" t="str">
        <x:v>T-5041</x:v>
      </x:c>
      <x:c r="B45" s="42" t="n">
        <x:v>46294</x:v>
      </x:c>
      <x:c r="C45" s="47" t="str">
        <x:v>Sep 2026</x:v>
      </x:c>
      <x:c r="D45" s="47" t="str">
        <x:v>Access / Login</x:v>
      </x:c>
      <x:c r="E45" s="47" t="str">
        <x:v>Medium</x:v>
      </x:c>
      <x:c r="F45" s="47" t="n">
        <x:v>6</x:v>
      </x:c>
      <x:c r="G45" s="48" t="str">
        <x:v>Open</x:v>
      </x:c>
    </x:row>
    <x:row r="46">
      <x:c r="A46" s="46" t="str">
        <x:v>T-5042</x:v>
      </x:c>
      <x:c r="B46" s="42" t="n">
        <x:v>46236</x:v>
      </x:c>
      <x:c r="C46" s="47" t="str">
        <x:v>Aug 2026</x:v>
      </x:c>
      <x:c r="D46" s="47" t="str">
        <x:v>Activity Sync</x:v>
      </x:c>
      <x:c r="E46" s="47" t="str">
        <x:v>High</x:v>
      </x:c>
      <x:c r="F46" s="47" t="n">
        <x:v>7</x:v>
      </x:c>
      <x:c r="G46" s="48" t="str">
        <x:v>Closed</x:v>
      </x:c>
    </x:row>
    <x:row r="47">
      <x:c r="A47" s="46" t="str">
        <x:v>T-5043</x:v>
      </x:c>
      <x:c r="B47" s="42" t="n">
        <x:v>46239</x:v>
      </x:c>
      <x:c r="C47" s="47" t="str">
        <x:v>Aug 2026</x:v>
      </x:c>
      <x:c r="D47" s="47" t="str">
        <x:v>Access / Login</x:v>
      </x:c>
      <x:c r="E47" s="47" t="str">
        <x:v>Low</x:v>
      </x:c>
      <x:c r="F47" s="47" t="n">
        <x:v>2</x:v>
      </x:c>
      <x:c r="G47" s="48" t="str">
        <x:v>Closed</x:v>
      </x:c>
    </x:row>
    <x:row r="48">
      <x:c r="A48" s="46" t="str">
        <x:v>T-5044</x:v>
      </x:c>
      <x:c r="B48" s="42" t="n">
        <x:v>46242</x:v>
      </x:c>
      <x:c r="C48" s="47" t="str">
        <x:v>Aug 2026</x:v>
      </x:c>
      <x:c r="D48" s="47" t="str">
        <x:v>Notifications</x:v>
      </x:c>
      <x:c r="E48" s="47" t="str">
        <x:v>High</x:v>
      </x:c>
      <x:c r="F48" s="47" t="n">
        <x:v>3</x:v>
      </x:c>
      <x:c r="G48" s="48" t="str">
        <x:v>Closed</x:v>
      </x:c>
    </x:row>
    <x:row r="49">
      <x:c r="A49" s="46" t="str">
        <x:v>T-5045</x:v>
      </x:c>
      <x:c r="B49" s="42" t="n">
        <x:v>46245</x:v>
      </x:c>
      <x:c r="C49" s="47" t="str">
        <x:v>Aug 2026</x:v>
      </x:c>
      <x:c r="D49" s="47" t="str">
        <x:v>Challenge Setup</x:v>
      </x:c>
      <x:c r="E49" s="47" t="str">
        <x:v>High</x:v>
      </x:c>
      <x:c r="F49" s="47" t="n">
        <x:v>4</x:v>
      </x:c>
      <x:c r="G49" s="48" t="str">
        <x:v>Closed</x:v>
      </x:c>
    </x:row>
    <x:row r="50">
      <x:c r="A50" s="46" t="str">
        <x:v>T-5046</x:v>
      </x:c>
      <x:c r="B50" s="42" t="n">
        <x:v>46248</x:v>
      </x:c>
      <x:c r="C50" s="47" t="str">
        <x:v>Aug 2026</x:v>
      </x:c>
      <x:c r="D50" s="47" t="str">
        <x:v>Access / Login</x:v>
      </x:c>
      <x:c r="E50" s="47" t="str">
        <x:v>Low</x:v>
      </x:c>
      <x:c r="F50" s="47" t="n">
        <x:v>5</x:v>
      </x:c>
      <x:c r="G50" s="48" t="str">
        <x:v>Closed</x:v>
      </x:c>
    </x:row>
    <x:row r="51">
      <x:c r="A51" s="46" t="str">
        <x:v>T-5047</x:v>
      </x:c>
      <x:c r="B51" s="42" t="n">
        <x:v>46251</x:v>
      </x:c>
      <x:c r="C51" s="47" t="str">
        <x:v>Aug 2026</x:v>
      </x:c>
      <x:c r="D51" s="47" t="str">
        <x:v>Activity Sync</x:v>
      </x:c>
      <x:c r="E51" s="47" t="str">
        <x:v>Medium</x:v>
      </x:c>
      <x:c r="F51" s="47" t="n">
        <x:v>6</x:v>
      </x:c>
      <x:c r="G51" s="48" t="str">
        <x:v>Closed</x:v>
      </x:c>
    </x:row>
    <x:row r="52">
      <x:c r="A52" s="46" t="str">
        <x:v>T-5048</x:v>
      </x:c>
      <x:c r="B52" s="42" t="n">
        <x:v>46254</x:v>
      </x:c>
      <x:c r="C52" s="47" t="str">
        <x:v>Aug 2026</x:v>
      </x:c>
      <x:c r="D52" s="47" t="str">
        <x:v>Privacy Question</x:v>
      </x:c>
      <x:c r="E52" s="47" t="str">
        <x:v>High</x:v>
      </x:c>
      <x:c r="F52" s="47" t="n">
        <x:v>7</x:v>
      </x:c>
      <x:c r="G52" s="48" t="str">
        <x:v>Closed</x:v>
      </x:c>
    </x:row>
    <x:row r="53">
      <x:c r="A53" s="46" t="str">
        <x:v>T-5049</x:v>
      </x:c>
      <x:c r="B53" s="42" t="n">
        <x:v>46257</x:v>
      </x:c>
      <x:c r="C53" s="47" t="str">
        <x:v>Aug 2026</x:v>
      </x:c>
      <x:c r="D53" s="47" t="str">
        <x:v>Notifications</x:v>
      </x:c>
      <x:c r="E53" s="47" t="str">
        <x:v>Medium</x:v>
      </x:c>
      <x:c r="F53" s="47" t="n">
        <x:v>2</x:v>
      </x:c>
      <x:c r="G53" s="48" t="str">
        <x:v>Open</x:v>
      </x:c>
    </x:row>
    <x:row r="54">
      <x:c r="A54" s="46" t="str">
        <x:v>T-5050</x:v>
      </x:c>
      <x:c r="B54" s="42" t="n">
        <x:v>46260</x:v>
      </x:c>
      <x:c r="C54" s="47" t="str">
        <x:v>Aug 2026</x:v>
      </x:c>
      <x:c r="D54" s="47" t="str">
        <x:v>Privacy Question</x:v>
      </x:c>
      <x:c r="E54" s="47" t="str">
        <x:v>Medium</x:v>
      </x:c>
      <x:c r="F54" s="47" t="n">
        <x:v>3</x:v>
      </x:c>
      <x:c r="G54" s="48" t="str">
        <x:v>Closed</x:v>
      </x:c>
    </x:row>
    <x:row r="55">
      <x:c r="A55" s="46" t="str">
        <x:v>T-5051</x:v>
      </x:c>
      <x:c r="B55" s="42" t="n">
        <x:v>46263</x:v>
      </x:c>
      <x:c r="C55" s="47" t="str">
        <x:v>Aug 2026</x:v>
      </x:c>
      <x:c r="D55" s="47" t="str">
        <x:v>Access / Login</x:v>
      </x:c>
      <x:c r="E55" s="47" t="str">
        <x:v>High</x:v>
      </x:c>
      <x:c r="F55" s="47" t="n">
        <x:v>4</x:v>
      </x:c>
      <x:c r="G55" s="48" t="str">
        <x:v>Closed</x:v>
      </x:c>
    </x:row>
    <x:row r="56">
      <x:c r="A56" s="46" t="str">
        <x:v>T-5052</x:v>
      </x:c>
      <x:c r="B56" s="42" t="n">
        <x:v>46266</x:v>
      </x:c>
      <x:c r="C56" s="47" t="str">
        <x:v>Sep 2026</x:v>
      </x:c>
      <x:c r="D56" s="47" t="str">
        <x:v>Activity Sync</x:v>
      </x:c>
      <x:c r="E56" s="47" t="str">
        <x:v>Low</x:v>
      </x:c>
      <x:c r="F56" s="47" t="n">
        <x:v>5</x:v>
      </x:c>
      <x:c r="G56" s="48" t="str">
        <x:v>Closed</x:v>
      </x:c>
    </x:row>
    <x:row r="57">
      <x:c r="A57" s="46" t="str">
        <x:v>T-5053</x:v>
      </x:c>
      <x:c r="B57" s="42" t="n">
        <x:v>46269</x:v>
      </x:c>
      <x:c r="C57" s="47" t="str">
        <x:v>Sep 2026</x:v>
      </x:c>
      <x:c r="D57" s="47" t="str">
        <x:v>Privacy Question</x:v>
      </x:c>
      <x:c r="E57" s="47" t="str">
        <x:v>Medium</x:v>
      </x:c>
      <x:c r="F57" s="47" t="n">
        <x:v>6</x:v>
      </x:c>
      <x:c r="G57" s="48" t="str">
        <x:v>Closed</x:v>
      </x:c>
    </x:row>
    <x:row r="58">
      <x:c r="A58" s="46" t="str">
        <x:v>T-5054</x:v>
      </x:c>
      <x:c r="B58" s="42" t="n">
        <x:v>46272</x:v>
      </x:c>
      <x:c r="C58" s="47" t="str">
        <x:v>Sep 2026</x:v>
      </x:c>
      <x:c r="D58" s="47" t="str">
        <x:v>Notifications</x:v>
      </x:c>
      <x:c r="E58" s="47" t="str">
        <x:v>Low</x:v>
      </x:c>
      <x:c r="F58" s="47" t="n">
        <x:v>14</x:v>
      </x:c>
      <x:c r="G58" s="48" t="str">
        <x:v>Closed</x:v>
      </x:c>
    </x:row>
    <x:row r="59">
      <x:c r="A59" s="46" t="str">
        <x:v>T-5055</x:v>
      </x:c>
      <x:c r="B59" s="42" t="n">
        <x:v>46275</x:v>
      </x:c>
      <x:c r="C59" s="47" t="str">
        <x:v>Sep 2026</x:v>
      </x:c>
      <x:c r="D59" s="47" t="str">
        <x:v>Challenge Setup</x:v>
      </x:c>
      <x:c r="E59" s="47" t="str">
        <x:v>Low</x:v>
      </x:c>
      <x:c r="F59" s="47" t="n">
        <x:v>2</x:v>
      </x:c>
      <x:c r="G59" s="48" t="str">
        <x:v>Closed</x:v>
      </x:c>
    </x:row>
    <x:row r="60">
      <x:c r="A60" s="46" t="str">
        <x:v>T-5056</x:v>
      </x:c>
      <x:c r="B60" s="42" t="n">
        <x:v>46278</x:v>
      </x:c>
      <x:c r="C60" s="47" t="str">
        <x:v>Sep 2026</x:v>
      </x:c>
      <x:c r="D60" s="47" t="str">
        <x:v>Access / Login</x:v>
      </x:c>
      <x:c r="E60" s="47" t="str">
        <x:v>Medium</x:v>
      </x:c>
      <x:c r="F60" s="47" t="n">
        <x:v>3</x:v>
      </x:c>
      <x:c r="G60" s="48" t="str">
        <x:v>Closed</x:v>
      </x:c>
    </x:row>
    <x:row r="61">
      <x:c r="A61" s="46" t="str">
        <x:v>T-5057</x:v>
      </x:c>
      <x:c r="B61" s="42" t="n">
        <x:v>46281</x:v>
      </x:c>
      <x:c r="C61" s="47" t="str">
        <x:v>Sep 2026</x:v>
      </x:c>
      <x:c r="D61" s="47" t="str">
        <x:v>Challenge Setup</x:v>
      </x:c>
      <x:c r="E61" s="47" t="str">
        <x:v>High</x:v>
      </x:c>
      <x:c r="F61" s="47" t="n">
        <x:v>4</x:v>
      </x:c>
      <x:c r="G61" s="48" t="str">
        <x:v>Open</x:v>
      </x:c>
    </x:row>
    <x:row r="62">
      <x:c r="A62" s="46" t="str">
        <x:v>T-5058</x:v>
      </x:c>
      <x:c r="B62" s="42" t="n">
        <x:v>46284</x:v>
      </x:c>
      <x:c r="C62" s="47" t="str">
        <x:v>Sep 2026</x:v>
      </x:c>
      <x:c r="D62" s="47" t="str">
        <x:v>Privacy Question</x:v>
      </x:c>
      <x:c r="E62" s="47" t="str">
        <x:v>Low</x:v>
      </x:c>
      <x:c r="F62" s="47" t="n">
        <x:v>5</x:v>
      </x:c>
      <x:c r="G62" s="48" t="str">
        <x:v>Closed</x:v>
      </x:c>
    </x:row>
    <x:row r="63">
      <x:c r="A63" s="46" t="str">
        <x:v>T-5059</x:v>
      </x:c>
      <x:c r="B63" s="42" t="n">
        <x:v>46287</x:v>
      </x:c>
      <x:c r="C63" s="47" t="str">
        <x:v>Sep 2026</x:v>
      </x:c>
      <x:c r="D63" s="47" t="str">
        <x:v>Notifications</x:v>
      </x:c>
      <x:c r="E63" s="47" t="str">
        <x:v>High</x:v>
      </x:c>
      <x:c r="F63" s="47" t="n">
        <x:v>13</x:v>
      </x:c>
      <x:c r="G63" s="48" t="str">
        <x:v>Closed</x:v>
      </x:c>
    </x:row>
    <x:row r="64">
      <x:c r="A64" s="49" t="str">
        <x:v>T-5060</x:v>
      </x:c>
      <x:c r="B64" s="52" t="n">
        <x:v>46290</x:v>
      </x:c>
      <x:c r="C64" s="50" t="str">
        <x:v>Sep 2026</x:v>
      </x:c>
      <x:c r="D64" s="50" t="str">
        <x:v>Challenge Setup</x:v>
      </x:c>
      <x:c r="E64" s="50" t="str">
        <x:v>High</x:v>
      </x:c>
      <x:c r="F64" s="50" t="n">
        <x:v>7</x:v>
      </x:c>
      <x:c r="G64" s="53" t="str">
        <x:v>Closed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a9f324bdbbb440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26" hidden="0" customWidth="1"/>
    <x:col min="5" max="5" width="10" hidden="0" customWidth="1"/>
    <x:col min="6" max="6" width="10" hidden="0" customWidth="1"/>
    <x:col min="7" max="7" width="12" hidden="0" customWidth="1"/>
  </x:cols>
  <x:sheetData>
    <x:row r="1" ht="28" customHeight="1">
      <x:c r="A1" s="4" t="str">
        <x:v>Northstar Pilot Roster - CRM</x:v>
      </x:c>
      <x:c r="B1" s="4"/>
      <x:c r="C1" s="4"/>
      <x:c r="D1" s="4"/>
      <x:c r="E1" s="4"/>
      <x:c r="F1" s="4"/>
      <x:c r="G1" s="4"/>
    </x:row>
    <x:row r="2" ht="34" customHeight="1">
      <x:c r="A2" s="10" t="str">
        <x:v>Authoritative HR-approved roster supplied for the Team Challenge pilot.</x:v>
      </x:c>
      <x:c r="B2" s="10"/>
      <x:c r="C2" s="10"/>
      <x:c r="D2" s="10"/>
      <x:c r="E2" s="10"/>
      <x:c r="F2" s="10"/>
      <x:c r="G2" s="10"/>
    </x:row>
    <x:row r="4">
      <x:c r="A4" s="24" t="str">
        <x:v>Employee ID</x:v>
      </x:c>
      <x:c r="B4" s="25" t="str">
        <x:v>Employee Name</x:v>
      </x:c>
      <x:c r="C4" s="25" t="str">
        <x:v>Email</x:v>
      </x:c>
      <x:c r="D4" s="25" t="str">
        <x:v>Company</x:v>
      </x:c>
      <x:c r="E4" s="25" t="str">
        <x:v>Region</x:v>
      </x:c>
      <x:c r="F4" s="25" t="str">
        <x:v>Consent</x:v>
      </x:c>
      <x:c r="G4" s="26" t="str">
        <x:v>Status</x:v>
      </x:c>
    </x:row>
    <x:row r="5">
      <x:c r="A5" s="46" t="str">
        <x:v>E-1001</x:v>
      </x:c>
      <x:c r="B5" s="47" t="str">
        <x:v>Ava Taylor</x:v>
      </x:c>
      <x:c r="C5" s="47" t="str">
        <x:v>ava.taylor0@northstarretail.com</x:v>
      </x:c>
      <x:c r="D5" s="47" t="str">
        <x:v>Northstar Retail Group</x:v>
      </x:c>
      <x:c r="E5" s="47" t="str">
        <x:v>NSW</x:v>
      </x:c>
      <x:c r="F5" s="47" t="str">
        <x:v>Yes</x:v>
      </x:c>
      <x:c r="G5" s="48" t="str">
        <x:v>Active</x:v>
      </x:c>
    </x:row>
    <x:row r="6">
      <x:c r="A6" s="46" t="str">
        <x:v>E-1002</x:v>
      </x:c>
      <x:c r="B6" s="47" t="str">
        <x:v>Noah Wilson</x:v>
      </x:c>
      <x:c r="C6" s="47" t="str">
        <x:v>noah.wilson1@northstarretail.com</x:v>
      </x:c>
      <x:c r="D6" s="47" t="str">
        <x:v>Northstar Retail Group</x:v>
      </x:c>
      <x:c r="E6" s="47" t="str">
        <x:v>VIC</x:v>
      </x:c>
      <x:c r="F6" s="47" t="str">
        <x:v>Yes</x:v>
      </x:c>
      <x:c r="G6" s="48" t="str">
        <x:v>Active</x:v>
      </x:c>
    </x:row>
    <x:row r="7">
      <x:c r="A7" s="46" t="str">
        <x:v>E-1003</x:v>
      </x:c>
      <x:c r="B7" s="47" t="str">
        <x:v>Mia Martin</x:v>
      </x:c>
      <x:c r="C7" s="47" t="str">
        <x:v>mia.martin2@northstarretail.com</x:v>
      </x:c>
      <x:c r="D7" s="47" t="str">
        <x:v>Northstar Retail Group</x:v>
      </x:c>
      <x:c r="E7" s="47" t="str">
        <x:v>QLD</x:v>
      </x:c>
      <x:c r="F7" s="47" t="str">
        <x:v>Yes</x:v>
      </x:c>
      <x:c r="G7" s="48" t="str">
        <x:v>Active</x:v>
      </x:c>
    </x:row>
    <x:row r="8">
      <x:c r="A8" s="46" t="str">
        <x:v>E-1004</x:v>
      </x:c>
      <x:c r="B8" s="47" t="str">
        <x:v>Ethan Chen</x:v>
      </x:c>
      <x:c r="C8" s="47" t="str">
        <x:v>ethan.chen3@northstarretail.com</x:v>
      </x:c>
      <x:c r="D8" s="47" t="str">
        <x:v>Northstar Retail Group</x:v>
      </x:c>
      <x:c r="E8" s="47" t="str">
        <x:v>WA</x:v>
      </x:c>
      <x:c r="F8" s="47" t="str">
        <x:v>Yes</x:v>
      </x:c>
      <x:c r="G8" s="48" t="str">
        <x:v>Active</x:v>
      </x:c>
    </x:row>
    <x:row r="9">
      <x:c r="A9" s="46" t="str">
        <x:v>E-1005</x:v>
      </x:c>
      <x:c r="B9" s="47" t="str">
        <x:v>Olivia Hall</x:v>
      </x:c>
      <x:c r="C9" s="47" t="str">
        <x:v>olivia.hall4@northstarretail.com</x:v>
      </x:c>
      <x:c r="D9" s="47" t="str">
        <x:v>Northstar Retail Group</x:v>
      </x:c>
      <x:c r="E9" s="47" t="str">
        <x:v>NSW</x:v>
      </x:c>
      <x:c r="F9" s="47" t="str">
        <x:v>Yes</x:v>
      </x:c>
      <x:c r="G9" s="48" t="str">
        <x:v>Active</x:v>
      </x:c>
    </x:row>
    <x:row r="10">
      <x:c r="A10" s="46" t="str">
        <x:v>E-1006</x:v>
      </x:c>
      <x:c r="B10" s="47" t="str">
        <x:v>Liam Baker</x:v>
      </x:c>
      <x:c r="C10" s="47" t="str">
        <x:v>liam.baker0@northstarretail.com</x:v>
      </x:c>
      <x:c r="D10" s="47" t="str">
        <x:v>Northstar Retail Group</x:v>
      </x:c>
      <x:c r="E10" s="47" t="str">
        <x:v>VIC</x:v>
      </x:c>
      <x:c r="F10" s="47" t="str">
        <x:v>Yes</x:v>
      </x:c>
      <x:c r="G10" s="48" t="str">
        <x:v>Active</x:v>
      </x:c>
    </x:row>
    <x:row r="11">
      <x:c r="A11" s="46" t="str">
        <x:v>E-1007</x:v>
      </x:c>
      <x:c r="B11" s="47" t="str">
        <x:v>Sophie Evans</x:v>
      </x:c>
      <x:c r="C11" s="47" t="str">
        <x:v>sophie.evans1@northstarretail.com</x:v>
      </x:c>
      <x:c r="D11" s="47" t="str">
        <x:v>Northstar Retail Group</x:v>
      </x:c>
      <x:c r="E11" s="47" t="str">
        <x:v>QLD</x:v>
      </x:c>
      <x:c r="F11" s="47" t="str">
        <x:v>Yes</x:v>
      </x:c>
      <x:c r="G11" s="48" t="str">
        <x:v>Active</x:v>
      </x:c>
    </x:row>
    <x:row r="12">
      <x:c r="A12" s="46" t="str">
        <x:v>E-1008</x:v>
      </x:c>
      <x:c r="B12" s="47" t="str">
        <x:v>Leo Ng</x:v>
      </x:c>
      <x:c r="C12" s="47" t="str">
        <x:v>leo.ng2@northstarretail.com</x:v>
      </x:c>
      <x:c r="D12" s="47" t="str">
        <x:v>Northstar Retail Group</x:v>
      </x:c>
      <x:c r="E12" s="47" t="str">
        <x:v>WA</x:v>
      </x:c>
      <x:c r="F12" s="47" t="str">
        <x:v>Yes</x:v>
      </x:c>
      <x:c r="G12" s="48" t="str">
        <x:v>Active</x:v>
      </x:c>
    </x:row>
    <x:row r="13">
      <x:c r="A13" s="46" t="str">
        <x:v>E-1009</x:v>
      </x:c>
      <x:c r="B13" s="47" t="str">
        <x:v>Aria Brown</x:v>
      </x:c>
      <x:c r="C13" s="47" t="str">
        <x:v>aria.brown3@northstarretail.com</x:v>
      </x:c>
      <x:c r="D13" s="47" t="str">
        <x:v>Northstar Retail Group</x:v>
      </x:c>
      <x:c r="E13" s="47" t="str">
        <x:v>NSW</x:v>
      </x:c>
      <x:c r="F13" s="47" t="str">
        <x:v>Yes</x:v>
      </x:c>
      <x:c r="G13" s="48" t="str">
        <x:v>Active</x:v>
      </x:c>
    </x:row>
    <x:row r="14">
      <x:c r="A14" s="46" t="str">
        <x:v>E-1010</x:v>
      </x:c>
      <x:c r="B14" s="47" t="str">
        <x:v>Jack Lee</x:v>
      </x:c>
      <x:c r="C14" s="47" t="str">
        <x:v>jack.lee4@northstarretail.com</x:v>
      </x:c>
      <x:c r="D14" s="47" t="str">
        <x:v>Northstar Retail Group</x:v>
      </x:c>
      <x:c r="E14" s="47" t="str">
        <x:v>VIC</x:v>
      </x:c>
      <x:c r="F14" s="47" t="str">
        <x:v>Yes</x:v>
      </x:c>
      <x:c r="G14" s="48" t="str">
        <x:v>Active</x:v>
      </x:c>
    </x:row>
    <x:row r="15">
      <x:c r="A15" s="46" t="str">
        <x:v>E-1011</x:v>
      </x:c>
      <x:c r="B15" s="47" t="str">
        <x:v>Isla King</x:v>
      </x:c>
      <x:c r="C15" s="47" t="str">
        <x:v>isla.king0@northstarretail.com</x:v>
      </x:c>
      <x:c r="D15" s="47" t="str">
        <x:v>Northstar Retail Group</x:v>
      </x:c>
      <x:c r="E15" s="47" t="str">
        <x:v>QLD</x:v>
      </x:c>
      <x:c r="F15" s="47" t="str">
        <x:v>Yes</x:v>
      </x:c>
      <x:c r="G15" s="48" t="str">
        <x:v>Active</x:v>
      </x:c>
    </x:row>
    <x:row r="16">
      <x:c r="A16" s="46" t="str">
        <x:v>E-1012</x:v>
      </x:c>
      <x:c r="B16" s="47" t="str">
        <x:v>Henry Young</x:v>
      </x:c>
      <x:c r="C16" s="47" t="str">
        <x:v>henry.young1@northstarretail.com</x:v>
      </x:c>
      <x:c r="D16" s="47" t="str">
        <x:v>Northstar Retail Group</x:v>
      </x:c>
      <x:c r="E16" s="47" t="str">
        <x:v>WA</x:v>
      </x:c>
      <x:c r="F16" s="47" t="str">
        <x:v>Yes</x:v>
      </x:c>
      <x:c r="G16" s="48" t="str">
        <x:v>Active</x:v>
      </x:c>
    </x:row>
    <x:row r="17">
      <x:c r="A17" s="46" t="str">
        <x:v>E-1013</x:v>
      </x:c>
      <x:c r="B17" s="47" t="str">
        <x:v>Grace Adams</x:v>
      </x:c>
      <x:c r="C17" s="47" t="str">
        <x:v>grace.adams2@northstarretail.com</x:v>
      </x:c>
      <x:c r="D17" s="47" t="str">
        <x:v>Northstar Retail Group</x:v>
      </x:c>
      <x:c r="E17" s="47" t="str">
        <x:v>NSW</x:v>
      </x:c>
      <x:c r="F17" s="47" t="str">
        <x:v>Yes</x:v>
      </x:c>
      <x:c r="G17" s="48" t="str">
        <x:v>Active</x:v>
      </x:c>
    </x:row>
    <x:row r="18">
      <x:c r="A18" s="46" t="str">
        <x:v>E-1014</x:v>
      </x:c>
      <x:c r="B18" s="47" t="str">
        <x:v>Lucas Hill</x:v>
      </x:c>
      <x:c r="C18" s="47" t="str">
        <x:v>lucas.hill3@northstarretail.com</x:v>
      </x:c>
      <x:c r="D18" s="47" t="str">
        <x:v>Northstar Retail Group</x:v>
      </x:c>
      <x:c r="E18" s="47" t="str">
        <x:v>VIC</x:v>
      </x:c>
      <x:c r="F18" s="47" t="str">
        <x:v>Yes</x:v>
      </x:c>
      <x:c r="G18" s="48" t="str">
        <x:v>Active</x:v>
      </x:c>
    </x:row>
    <x:row r="19">
      <x:c r="A19" s="46" t="str">
        <x:v>E-1015</x:v>
      </x:c>
      <x:c r="B19" s="47" t="str">
        <x:v>Chloe Patel</x:v>
      </x:c>
      <x:c r="C19" s="47" t="str">
        <x:v>chloe.patel4@northstarretail.com</x:v>
      </x:c>
      <x:c r="D19" s="47" t="str">
        <x:v>Northstar Retail Group</x:v>
      </x:c>
      <x:c r="E19" s="47" t="str">
        <x:v>QLD</x:v>
      </x:c>
      <x:c r="F19" s="47" t="str">
        <x:v>Yes</x:v>
      </x:c>
      <x:c r="G19" s="48" t="str">
        <x:v>Active</x:v>
      </x:c>
    </x:row>
    <x:row r="20">
      <x:c r="A20" s="46" t="str">
        <x:v>E-1016</x:v>
      </x:c>
      <x:c r="B20" s="47" t="str">
        <x:v>James Singh</x:v>
      </x:c>
      <x:c r="C20" s="47" t="str">
        <x:v>james.singh0@northstarretail.com</x:v>
      </x:c>
      <x:c r="D20" s="47" t="str">
        <x:v>Northstar Retail Group</x:v>
      </x:c>
      <x:c r="E20" s="47" t="str">
        <x:v>WA</x:v>
      </x:c>
      <x:c r="F20" s="47" t="str">
        <x:v>Yes</x:v>
      </x:c>
      <x:c r="G20" s="48" t="str">
        <x:v>Active</x:v>
      </x:c>
    </x:row>
    <x:row r="21">
      <x:c r="A21" s="46" t="str">
        <x:v>E-1017</x:v>
      </x:c>
      <x:c r="B21" s="47" t="str">
        <x:v>Ella Walker</x:v>
      </x:c>
      <x:c r="C21" s="47" t="str">
        <x:v>ella.walker1@northstarretail.com</x:v>
      </x:c>
      <x:c r="D21" s="47" t="str">
        <x:v>Northstar Retail Group</x:v>
      </x:c>
      <x:c r="E21" s="47" t="str">
        <x:v>NSW</x:v>
      </x:c>
      <x:c r="F21" s="47" t="str">
        <x:v>Yes</x:v>
      </x:c>
      <x:c r="G21" s="48" t="str">
        <x:v>Active</x:v>
      </x:c>
    </x:row>
    <x:row r="22">
      <x:c r="A22" s="46" t="str">
        <x:v>E-1018</x:v>
      </x:c>
      <x:c r="B22" s="47" t="str">
        <x:v>Oscar Scott</x:v>
      </x:c>
      <x:c r="C22" s="47" t="str">
        <x:v>oscar.scott2@northstarretail.com</x:v>
      </x:c>
      <x:c r="D22" s="47" t="str">
        <x:v>Northstar Retail Group</x:v>
      </x:c>
      <x:c r="E22" s="47" t="str">
        <x:v>VIC</x:v>
      </x:c>
      <x:c r="F22" s="47" t="str">
        <x:v>Yes</x:v>
      </x:c>
      <x:c r="G22" s="48" t="str">
        <x:v>Active</x:v>
      </x:c>
    </x:row>
    <x:row r="23">
      <x:c r="A23" s="46" t="str">
        <x:v>E-1019</x:v>
      </x:c>
      <x:c r="B23" s="47" t="str">
        <x:v>Zoe Green</x:v>
      </x:c>
      <x:c r="C23" s="47" t="str">
        <x:v>zoe.green3@northstarretail.com</x:v>
      </x:c>
      <x:c r="D23" s="47" t="str">
        <x:v>Northstar Retail Group</x:v>
      </x:c>
      <x:c r="E23" s="47" t="str">
        <x:v>QLD</x:v>
      </x:c>
      <x:c r="F23" s="47" t="str">
        <x:v>Yes</x:v>
      </x:c>
      <x:c r="G23" s="48" t="str">
        <x:v>Active</x:v>
      </x:c>
    </x:row>
    <x:row r="24">
      <x:c r="A24" s="46" t="str">
        <x:v>E-1020</x:v>
      </x:c>
      <x:c r="B24" s="47" t="str">
        <x:v>William Clark</x:v>
      </x:c>
      <x:c r="C24" s="47" t="str">
        <x:v>william.clark4@northstarretail.com</x:v>
      </x:c>
      <x:c r="D24" s="47" t="str">
        <x:v>Northstar Retail Group</x:v>
      </x:c>
      <x:c r="E24" s="47" t="str">
        <x:v>WA</x:v>
      </x:c>
      <x:c r="F24" s="47" t="str">
        <x:v>Yes</x:v>
      </x:c>
      <x:c r="G24" s="48" t="str">
        <x:v>Active</x:v>
      </x:c>
    </x:row>
    <x:row r="25">
      <x:c r="A25" s="46" t="str">
        <x:v>E-1021</x:v>
      </x:c>
      <x:c r="B25" s="47" t="str">
        <x:v>Ava Taylor</x:v>
      </x:c>
      <x:c r="C25" s="47" t="str">
        <x:v>ava.taylor0@northstarretail.com</x:v>
      </x:c>
      <x:c r="D25" s="47" t="str">
        <x:v>Northstar Retail Group</x:v>
      </x:c>
      <x:c r="E25" s="47" t="str">
        <x:v>NSW</x:v>
      </x:c>
      <x:c r="F25" s="47" t="str">
        <x:v>Yes</x:v>
      </x:c>
      <x:c r="G25" s="48" t="str">
        <x:v>Active</x:v>
      </x:c>
    </x:row>
    <x:row r="26">
      <x:c r="A26" s="46" t="str">
        <x:v>E-1022</x:v>
      </x:c>
      <x:c r="B26" s="47" t="str">
        <x:v>Noah Wilson</x:v>
      </x:c>
      <x:c r="C26" s="47" t="str">
        <x:v>noah.wilson1@northstarretail.com</x:v>
      </x:c>
      <x:c r="D26" s="47" t="str">
        <x:v>Northstar Retail Group</x:v>
      </x:c>
      <x:c r="E26" s="47" t="str">
        <x:v>VIC</x:v>
      </x:c>
      <x:c r="F26" s="47" t="str">
        <x:v>Yes</x:v>
      </x:c>
      <x:c r="G26" s="48" t="str">
        <x:v>Active</x:v>
      </x:c>
    </x:row>
    <x:row r="27">
      <x:c r="A27" s="46" t="str">
        <x:v>E-1023</x:v>
      </x:c>
      <x:c r="B27" s="47" t="str">
        <x:v>Mia Martin</x:v>
      </x:c>
      <x:c r="C27" s="47" t="str">
        <x:v>mia.martin2@northstarretail.com</x:v>
      </x:c>
      <x:c r="D27" s="47" t="str">
        <x:v>Northstar Retail Group</x:v>
      </x:c>
      <x:c r="E27" s="47" t="str">
        <x:v>QLD</x:v>
      </x:c>
      <x:c r="F27" s="47" t="str">
        <x:v>Yes</x:v>
      </x:c>
      <x:c r="G27" s="48" t="str">
        <x:v>Active</x:v>
      </x:c>
    </x:row>
    <x:row r="28">
      <x:c r="A28" s="46" t="str">
        <x:v>E-1024</x:v>
      </x:c>
      <x:c r="B28" s="47" t="str">
        <x:v>Ethan Chen</x:v>
      </x:c>
      <x:c r="C28" s="47" t="str">
        <x:v>ethan.chen3@northstarretail.com</x:v>
      </x:c>
      <x:c r="D28" s="47" t="str">
        <x:v>Northstar Retail Group</x:v>
      </x:c>
      <x:c r="E28" s="47" t="str">
        <x:v>WA</x:v>
      </x:c>
      <x:c r="F28" s="47" t="str">
        <x:v>Yes</x:v>
      </x:c>
      <x:c r="G28" s="48" t="str">
        <x:v>Active</x:v>
      </x:c>
    </x:row>
    <x:row r="29">
      <x:c r="A29" s="46" t="str">
        <x:v>E-1025</x:v>
      </x:c>
      <x:c r="B29" s="47" t="str">
        <x:v>Olivia Hall</x:v>
      </x:c>
      <x:c r="C29" s="47" t="str">
        <x:v>olivia.hall4@northstarretail.com</x:v>
      </x:c>
      <x:c r="D29" s="47" t="str">
        <x:v>Northstar Retail Group</x:v>
      </x:c>
      <x:c r="E29" s="47" t="str">
        <x:v>NSW</x:v>
      </x:c>
      <x:c r="F29" s="47" t="str">
        <x:v>Yes</x:v>
      </x:c>
      <x:c r="G29" s="48" t="str">
        <x:v>Active</x:v>
      </x:c>
    </x:row>
    <x:row r="30">
      <x:c r="A30" s="46" t="str">
        <x:v>E-1026</x:v>
      </x:c>
      <x:c r="B30" s="47" t="str">
        <x:v>Liam Baker</x:v>
      </x:c>
      <x:c r="C30" s="47" t="str">
        <x:v>liam.baker0@northstarretail.com</x:v>
      </x:c>
      <x:c r="D30" s="47" t="str">
        <x:v>Northstar Retail Group</x:v>
      </x:c>
      <x:c r="E30" s="47" t="str">
        <x:v>VIC</x:v>
      </x:c>
      <x:c r="F30" s="47" t="str">
        <x:v>Yes</x:v>
      </x:c>
      <x:c r="G30" s="48" t="str">
        <x:v>Active</x:v>
      </x:c>
    </x:row>
    <x:row r="31">
      <x:c r="A31" s="46" t="str">
        <x:v>E-1027</x:v>
      </x:c>
      <x:c r="B31" s="47" t="str">
        <x:v>Sophie Evans</x:v>
      </x:c>
      <x:c r="C31" s="47" t="str">
        <x:v>sophie.evans1@northstarretail.com</x:v>
      </x:c>
      <x:c r="D31" s="47" t="str">
        <x:v>Northstar Retail Group</x:v>
      </x:c>
      <x:c r="E31" s="47" t="str">
        <x:v>QLD</x:v>
      </x:c>
      <x:c r="F31" s="47" t="str">
        <x:v>Yes</x:v>
      </x:c>
      <x:c r="G31" s="48" t="str">
        <x:v>Active</x:v>
      </x:c>
    </x:row>
    <x:row r="32">
      <x:c r="A32" s="46" t="str">
        <x:v>E-1028</x:v>
      </x:c>
      <x:c r="B32" s="47" t="str">
        <x:v>Leo Ng</x:v>
      </x:c>
      <x:c r="C32" s="47" t="str">
        <x:v>leo.ng2@northstarretail.com</x:v>
      </x:c>
      <x:c r="D32" s="47" t="str">
        <x:v>Northstar Retail Group</x:v>
      </x:c>
      <x:c r="E32" s="47" t="str">
        <x:v>WA</x:v>
      </x:c>
      <x:c r="F32" s="47" t="str">
        <x:v>Yes</x:v>
      </x:c>
      <x:c r="G32" s="48" t="str">
        <x:v>Active</x:v>
      </x:c>
    </x:row>
    <x:row r="33">
      <x:c r="A33" s="46" t="str">
        <x:v>E-1029</x:v>
      </x:c>
      <x:c r="B33" s="47" t="str">
        <x:v>Aria Brown</x:v>
      </x:c>
      <x:c r="C33" s="47" t="str">
        <x:v>aria.brown3@northstarretail.com</x:v>
      </x:c>
      <x:c r="D33" s="47" t="str">
        <x:v>Northstar Retail Group</x:v>
      </x:c>
      <x:c r="E33" s="47" t="str">
        <x:v>NSW</x:v>
      </x:c>
      <x:c r="F33" s="47" t="str">
        <x:v>Yes</x:v>
      </x:c>
      <x:c r="G33" s="48" t="str">
        <x:v>Active</x:v>
      </x:c>
    </x:row>
    <x:row r="34">
      <x:c r="A34" s="46" t="str">
        <x:v>E-1030</x:v>
      </x:c>
      <x:c r="B34" s="47" t="str">
        <x:v>Jack Lee</x:v>
      </x:c>
      <x:c r="C34" s="47" t="str">
        <x:v>jack.lee4@northstarretail.com</x:v>
      </x:c>
      <x:c r="D34" s="47" t="str">
        <x:v>Northstar Retail Group</x:v>
      </x:c>
      <x:c r="E34" s="47" t="str">
        <x:v>VIC</x:v>
      </x:c>
      <x:c r="F34" s="47" t="str">
        <x:v>Yes</x:v>
      </x:c>
      <x:c r="G34" s="48" t="str">
        <x:v>Active</x:v>
      </x:c>
    </x:row>
    <x:row r="35">
      <x:c r="A35" s="46" t="str">
        <x:v>E-1031</x:v>
      </x:c>
      <x:c r="B35" s="47" t="str">
        <x:v>Isla King</x:v>
      </x:c>
      <x:c r="C35" s="47" t="str">
        <x:v>isla.king0@northstarretail.com</x:v>
      </x:c>
      <x:c r="D35" s="47" t="str">
        <x:v>Northstar Retail Group</x:v>
      </x:c>
      <x:c r="E35" s="47" t="str">
        <x:v>QLD</x:v>
      </x:c>
      <x:c r="F35" s="47" t="str">
        <x:v>Yes</x:v>
      </x:c>
      <x:c r="G35" s="48" t="str">
        <x:v>Active</x:v>
      </x:c>
    </x:row>
    <x:row r="36">
      <x:c r="A36" s="46" t="str">
        <x:v>E-1032</x:v>
      </x:c>
      <x:c r="B36" s="47" t="str">
        <x:v>Henry Young</x:v>
      </x:c>
      <x:c r="C36" s="47" t="str">
        <x:v>henry.young1@northstarretail.com</x:v>
      </x:c>
      <x:c r="D36" s="47" t="str">
        <x:v>Northstar Retail Group</x:v>
      </x:c>
      <x:c r="E36" s="47" t="str">
        <x:v>WA</x:v>
      </x:c>
      <x:c r="F36" s="47" t="str">
        <x:v>Yes</x:v>
      </x:c>
      <x:c r="G36" s="48" t="str">
        <x:v>Active</x:v>
      </x:c>
    </x:row>
    <x:row r="37">
      <x:c r="A37" s="46" t="str">
        <x:v>E-1033</x:v>
      </x:c>
      <x:c r="B37" s="47" t="str">
        <x:v>Grace Adams</x:v>
      </x:c>
      <x:c r="C37" s="47" t="str">
        <x:v>grace.adams2@northstarretail.com</x:v>
      </x:c>
      <x:c r="D37" s="47" t="str">
        <x:v>Northstar Retail Group</x:v>
      </x:c>
      <x:c r="E37" s="47" t="str">
        <x:v>NSW</x:v>
      </x:c>
      <x:c r="F37" s="47" t="str">
        <x:v>Yes</x:v>
      </x:c>
      <x:c r="G37" s="48" t="str">
        <x:v>Active</x:v>
      </x:c>
    </x:row>
    <x:row r="38">
      <x:c r="A38" s="46" t="str">
        <x:v>E-1034</x:v>
      </x:c>
      <x:c r="B38" s="47" t="str">
        <x:v>Lucas Hill</x:v>
      </x:c>
      <x:c r="C38" s="47" t="str">
        <x:v>lucas.hill3@northstarretail.com</x:v>
      </x:c>
      <x:c r="D38" s="47" t="str">
        <x:v>Northstar Retail Group</x:v>
      </x:c>
      <x:c r="E38" s="47" t="str">
        <x:v>VIC</x:v>
      </x:c>
      <x:c r="F38" s="47" t="str">
        <x:v>Yes</x:v>
      </x:c>
      <x:c r="G38" s="48" t="str">
        <x:v>Active</x:v>
      </x:c>
    </x:row>
    <x:row r="39">
      <x:c r="A39" s="46" t="str">
        <x:v>E-1035</x:v>
      </x:c>
      <x:c r="B39" s="47" t="str">
        <x:v>Chloe Patel</x:v>
      </x:c>
      <x:c r="C39" s="47" t="str">
        <x:v>chloe.patel4@northstarretail.com</x:v>
      </x:c>
      <x:c r="D39" s="47" t="str">
        <x:v>Northstar Retail Group</x:v>
      </x:c>
      <x:c r="E39" s="47" t="str">
        <x:v>QLD</x:v>
      </x:c>
      <x:c r="F39" s="47" t="str">
        <x:v>Yes</x:v>
      </x:c>
      <x:c r="G39" s="48" t="str">
        <x:v>Active</x:v>
      </x:c>
    </x:row>
    <x:row r="40">
      <x:c r="A40" s="46" t="str">
        <x:v>E-1036</x:v>
      </x:c>
      <x:c r="B40" s="47" t="str">
        <x:v>James Singh</x:v>
      </x:c>
      <x:c r="C40" s="47" t="str">
        <x:v>james.singh0@northstarretail.com</x:v>
      </x:c>
      <x:c r="D40" s="47" t="str">
        <x:v>Northstar Retail Group</x:v>
      </x:c>
      <x:c r="E40" s="47" t="str">
        <x:v>WA</x:v>
      </x:c>
      <x:c r="F40" s="47" t="str">
        <x:v>Yes</x:v>
      </x:c>
      <x:c r="G40" s="48" t="str">
        <x:v>Active</x:v>
      </x:c>
    </x:row>
    <x:row r="41">
      <x:c r="A41" s="46" t="str">
        <x:v>E-1037</x:v>
      </x:c>
      <x:c r="B41" s="47" t="str">
        <x:v>Ella Walker</x:v>
      </x:c>
      <x:c r="C41" s="47" t="str">
        <x:v>ella.walker1@northstarretail.com</x:v>
      </x:c>
      <x:c r="D41" s="47" t="str">
        <x:v>Northstar Retail Group</x:v>
      </x:c>
      <x:c r="E41" s="47" t="str">
        <x:v>NSW</x:v>
      </x:c>
      <x:c r="F41" s="47" t="str">
        <x:v>Yes</x:v>
      </x:c>
      <x:c r="G41" s="48" t="str">
        <x:v>Active</x:v>
      </x:c>
    </x:row>
    <x:row r="42">
      <x:c r="A42" s="46" t="str">
        <x:v>E-1038</x:v>
      </x:c>
      <x:c r="B42" s="47" t="str">
        <x:v>Oscar Scott</x:v>
      </x:c>
      <x:c r="C42" s="47" t="str">
        <x:v>oscar.scott2@northstarretail.com</x:v>
      </x:c>
      <x:c r="D42" s="47" t="str">
        <x:v>Northstar Retail Group</x:v>
      </x:c>
      <x:c r="E42" s="47" t="str">
        <x:v>VIC</x:v>
      </x:c>
      <x:c r="F42" s="47" t="str">
        <x:v>Yes</x:v>
      </x:c>
      <x:c r="G42" s="48" t="str">
        <x:v>Active</x:v>
      </x:c>
    </x:row>
    <x:row r="43">
      <x:c r="A43" s="46" t="str">
        <x:v>E-1039</x:v>
      </x:c>
      <x:c r="B43" s="47" t="str">
        <x:v>Zoe Green</x:v>
      </x:c>
      <x:c r="C43" s="47" t="str">
        <x:v>zoe.green3@northstarretail.com</x:v>
      </x:c>
      <x:c r="D43" s="47" t="str">
        <x:v>Northstar Retail Group</x:v>
      </x:c>
      <x:c r="E43" s="47" t="str">
        <x:v>QLD</x:v>
      </x:c>
      <x:c r="F43" s="47" t="str">
        <x:v>Yes</x:v>
      </x:c>
      <x:c r="G43" s="48" t="str">
        <x:v>Active</x:v>
      </x:c>
    </x:row>
    <x:row r="44">
      <x:c r="A44" s="46" t="str">
        <x:v>E-1040</x:v>
      </x:c>
      <x:c r="B44" s="47" t="str">
        <x:v>William Clark</x:v>
      </x:c>
      <x:c r="C44" s="47" t="str">
        <x:v>william.clark4@northstarretail.com</x:v>
      </x:c>
      <x:c r="D44" s="47" t="str">
        <x:v>Northstar Retail Group</x:v>
      </x:c>
      <x:c r="E44" s="47" t="str">
        <x:v>WA</x:v>
      </x:c>
      <x:c r="F44" s="47" t="str">
        <x:v>No</x:v>
      </x:c>
      <x:c r="G44" s="48" t="str">
        <x:v>Active</x:v>
      </x:c>
    </x:row>
    <x:row r="45">
      <x:c r="A45" s="46" t="str">
        <x:v>E-1041</x:v>
      </x:c>
      <x:c r="B45" s="47" t="str">
        <x:v>Ava Taylor</x:v>
      </x:c>
      <x:c r="C45" s="47" t="str">
        <x:v>ava.taylor0@northstarretail.com</x:v>
      </x:c>
      <x:c r="D45" s="47" t="str">
        <x:v>Northstar Retail Group</x:v>
      </x:c>
      <x:c r="E45" s="47" t="str">
        <x:v>NSW</x:v>
      </x:c>
      <x:c r="F45" s="47" t="str">
        <x:v>Yes</x:v>
      </x:c>
      <x:c r="G45" s="48" t="str">
        <x:v>Active</x:v>
      </x:c>
    </x:row>
    <x:row r="46">
      <x:c r="A46" s="46" t="str">
        <x:v>E-1042</x:v>
      </x:c>
      <x:c r="B46" s="47" t="str">
        <x:v>Noah Wilson</x:v>
      </x:c>
      <x:c r="C46" s="47" t="str">
        <x:v>noah.wilson1@northstarretail.com</x:v>
      </x:c>
      <x:c r="D46" s="47" t="str">
        <x:v>Northstar Retail Group</x:v>
      </x:c>
      <x:c r="E46" s="47" t="str">
        <x:v>VIC</x:v>
      </x:c>
      <x:c r="F46" s="47" t="str">
        <x:v>Yes</x:v>
      </x:c>
      <x:c r="G46" s="48" t="str">
        <x:v>Active</x:v>
      </x:c>
    </x:row>
    <x:row r="47">
      <x:c r="A47" s="46" t="str">
        <x:v>E-1043</x:v>
      </x:c>
      <x:c r="B47" s="47" t="str">
        <x:v>Mia Martin</x:v>
      </x:c>
      <x:c r="C47" s="47" t="str">
        <x:v>mia.martin2@northstarretail.com</x:v>
      </x:c>
      <x:c r="D47" s="47" t="str">
        <x:v>Northstar Retail Group</x:v>
      </x:c>
      <x:c r="E47" s="47" t="str">
        <x:v>QLD</x:v>
      </x:c>
      <x:c r="F47" s="47" t="str">
        <x:v>Yes</x:v>
      </x:c>
      <x:c r="G47" s="48" t="str">
        <x:v>Active</x:v>
      </x:c>
    </x:row>
    <x:row r="48">
      <x:c r="A48" s="46" t="str">
        <x:v>E-1044</x:v>
      </x:c>
      <x:c r="B48" s="47" t="str">
        <x:v>Ethan Chen</x:v>
      </x:c>
      <x:c r="C48" s="47" t="str">
        <x:v>ethan.chen3@northstarretail.com</x:v>
      </x:c>
      <x:c r="D48" s="47" t="str">
        <x:v>Northstar Retail Group</x:v>
      </x:c>
      <x:c r="E48" s="47" t="str">
        <x:v>WA</x:v>
      </x:c>
      <x:c r="F48" s="47" t="str">
        <x:v>Yes</x:v>
      </x:c>
      <x:c r="G48" s="48" t="str">
        <x:v>Active</x:v>
      </x:c>
    </x:row>
    <x:row r="49">
      <x:c r="A49" s="46" t="str">
        <x:v>E-1045</x:v>
      </x:c>
      <x:c r="B49" s="47" t="str">
        <x:v>Olivia Hall</x:v>
      </x:c>
      <x:c r="C49" s="47" t="str">
        <x:v>olivia.hall4@northstarretail.com</x:v>
      </x:c>
      <x:c r="D49" s="47" t="str">
        <x:v>Northstar Retail Group</x:v>
      </x:c>
      <x:c r="E49" s="47" t="str">
        <x:v>NSW</x:v>
      </x:c>
      <x:c r="F49" s="47" t="str">
        <x:v>Yes</x:v>
      </x:c>
      <x:c r="G49" s="48" t="str">
        <x:v>Active</x:v>
      </x:c>
    </x:row>
    <x:row r="50">
      <x:c r="A50" s="46" t="str">
        <x:v>E-1046</x:v>
      </x:c>
      <x:c r="B50" s="47" t="str">
        <x:v>Liam Baker</x:v>
      </x:c>
      <x:c r="C50" s="47" t="str">
        <x:v>liam.baker0@northstarretail.com</x:v>
      </x:c>
      <x:c r="D50" s="47" t="str">
        <x:v>Northstar Retail Group</x:v>
      </x:c>
      <x:c r="E50" s="47" t="str">
        <x:v>VIC</x:v>
      </x:c>
      <x:c r="F50" s="47" t="str">
        <x:v>Yes</x:v>
      </x:c>
      <x:c r="G50" s="48" t="str">
        <x:v>Active</x:v>
      </x:c>
    </x:row>
    <x:row r="51">
      <x:c r="A51" s="46" t="str">
        <x:v>E-1047</x:v>
      </x:c>
      <x:c r="B51" s="47" t="str">
        <x:v>Sophie Evans</x:v>
      </x:c>
      <x:c r="C51" s="47" t="str">
        <x:v>sophie.evans1@northstarretail.com</x:v>
      </x:c>
      <x:c r="D51" s="47" t="str">
        <x:v>Northstar Retail Group</x:v>
      </x:c>
      <x:c r="E51" s="47" t="str">
        <x:v>QLD</x:v>
      </x:c>
      <x:c r="F51" s="47" t="str">
        <x:v>Yes</x:v>
      </x:c>
      <x:c r="G51" s="48" t="str">
        <x:v>Inactive</x:v>
      </x:c>
    </x:row>
    <x:row r="52">
      <x:c r="A52" s="46" t="str">
        <x:v>E-1048</x:v>
      </x:c>
      <x:c r="B52" s="47" t="str">
        <x:v>Leo Ng</x:v>
      </x:c>
      <x:c r="C52" s="47" t="str">
        <x:v>leo.ng2@northstarretail.com</x:v>
      </x:c>
      <x:c r="D52" s="47" t="str">
        <x:v>Northstar Retail Group</x:v>
      </x:c>
      <x:c r="E52" s="47" t="str">
        <x:v>WA</x:v>
      </x:c>
      <x:c r="F52" s="47" t="str">
        <x:v>Yes</x:v>
      </x:c>
      <x:c r="G52" s="48" t="str">
        <x:v>Active</x:v>
      </x:c>
    </x:row>
    <x:row r="53">
      <x:c r="A53" s="46" t="str">
        <x:v>E-1049</x:v>
      </x:c>
      <x:c r="B53" s="47" t="str">
        <x:v>Aria Brown</x:v>
      </x:c>
      <x:c r="C53" s="47" t="str">
        <x:v>aria.brown3@northstarretail.com</x:v>
      </x:c>
      <x:c r="D53" s="47" t="str">
        <x:v>Northstar Retail Group</x:v>
      </x:c>
      <x:c r="E53" s="47" t="str">
        <x:v>NSW</x:v>
      </x:c>
      <x:c r="F53" s="47" t="str">
        <x:v>Yes</x:v>
      </x:c>
      <x:c r="G53" s="48" t="str">
        <x:v>Active</x:v>
      </x:c>
    </x:row>
    <x:row r="54">
      <x:c r="A54" s="49" t="str">
        <x:v>E-1050</x:v>
      </x:c>
      <x:c r="B54" s="50" t="str">
        <x:v>Jack Lee</x:v>
      </x:c>
      <x:c r="C54" s="50" t="str">
        <x:v>jack.lee4@northstarretail.com</x:v>
      </x:c>
      <x:c r="D54" s="50" t="str">
        <x:v>Northstar Retail Group</x:v>
      </x:c>
      <x:c r="E54" s="50" t="str">
        <x:v>VIC</x:v>
      </x:c>
      <x:c r="F54" s="50" t="str">
        <x:v>Yes</x:v>
      </x:c>
      <x:c r="G54" s="53" t="str">
        <x:v>Active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8fa23c15ef34de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2" hidden="0" customWidth="1"/>
    <x:col min="4" max="4" width="34" hidden="0" customWidth="1"/>
    <x:col min="5" max="5" width="10" hidden="0" customWidth="1"/>
    <x:col min="6" max="6" width="18" hidden="0" customWidth="1"/>
  </x:cols>
  <x:sheetData>
    <x:row r="1" ht="28" customHeight="1">
      <x:c r="A1" s="4" t="str">
        <x:v>Northstar Pilot Roster - Challenge Platform Export</x:v>
      </x:c>
      <x:c r="B1" s="4"/>
      <x:c r="C1" s="4"/>
      <x:c r="D1" s="4"/>
      <x:c r="E1" s="4"/>
      <x:c r="F1" s="4"/>
    </x:row>
    <x:row r="2" ht="34" customHeight="1">
      <x:c r="A2" s="10" t="str">
        <x:v>Operational export from the Zava challenge platform. Reconcile this against the CRM roster.</x:v>
      </x:c>
      <x:c r="B2" s="10"/>
      <x:c r="C2" s="10"/>
      <x:c r="D2" s="10"/>
      <x:c r="E2" s="10"/>
      <x:c r="F2" s="10"/>
    </x:row>
    <x:row r="4">
      <x:c r="A4" s="24" t="str">
        <x:v>User ID</x:v>
      </x:c>
      <x:c r="B4" s="25" t="str">
        <x:v>Employee ID</x:v>
      </x:c>
      <x:c r="C4" s="25" t="str">
        <x:v>Display Name</x:v>
      </x:c>
      <x:c r="D4" s="25" t="str">
        <x:v>Email</x:v>
      </x:c>
      <x:c r="E4" s="25" t="str">
        <x:v>Region</x:v>
      </x:c>
      <x:c r="F4" s="26" t="str">
        <x:v>Enrollment Status</x:v>
      </x:c>
    </x:row>
    <x:row r="5">
      <x:c r="A5" s="46" t="str">
        <x:v>U-1001</x:v>
      </x:c>
      <x:c r="B5" s="47" t="str">
        <x:v>E-1001</x:v>
      </x:c>
      <x:c r="C5" s="47" t="str">
        <x:v>Ava Taylor</x:v>
      </x:c>
      <x:c r="D5" s="47" t="str">
        <x:v>ava.taylor0@northstarretail.com</x:v>
      </x:c>
      <x:c r="E5" s="47" t="str">
        <x:v>NSW</x:v>
      </x:c>
      <x:c r="F5" s="48" t="str">
        <x:v>Enrolled</x:v>
      </x:c>
    </x:row>
    <x:row r="6">
      <x:c r="A6" s="46" t="str">
        <x:v>U-1002</x:v>
      </x:c>
      <x:c r="B6" s="47" t="str">
        <x:v>E-1002</x:v>
      </x:c>
      <x:c r="C6" s="47" t="str">
        <x:v>Noah Wilson</x:v>
      </x:c>
      <x:c r="D6" s="47" t="str">
        <x:v>noah.wilson1@northstarretail.com</x:v>
      </x:c>
      <x:c r="E6" s="47" t="str">
        <x:v>VIC</x:v>
      </x:c>
      <x:c r="F6" s="48" t="str">
        <x:v>Enrolled</x:v>
      </x:c>
    </x:row>
    <x:row r="7">
      <x:c r="A7" s="46" t="str">
        <x:v>U-1003</x:v>
      </x:c>
      <x:c r="B7" s="47" t="str">
        <x:v>E-1003</x:v>
      </x:c>
      <x:c r="C7" s="47" t="str">
        <x:v>Mia Martin</x:v>
      </x:c>
      <x:c r="D7" s="47" t="str">
        <x:v>mia.martin2@northstarretail.com</x:v>
      </x:c>
      <x:c r="E7" s="47" t="str">
        <x:v>QLD</x:v>
      </x:c>
      <x:c r="F7" s="48" t="str">
        <x:v>Enrolled</x:v>
      </x:c>
    </x:row>
    <x:row r="8">
      <x:c r="A8" s="46" t="str">
        <x:v>U-1004</x:v>
      </x:c>
      <x:c r="B8" s="47" t="str">
        <x:v>E-1004</x:v>
      </x:c>
      <x:c r="C8" s="47" t="str">
        <x:v>Ethan Chen</x:v>
      </x:c>
      <x:c r="D8" s="47" t="str">
        <x:v>ethan.chen3@northstarretail.com</x:v>
      </x:c>
      <x:c r="E8" s="47" t="str">
        <x:v>WA</x:v>
      </x:c>
      <x:c r="F8" s="48" t="str">
        <x:v>Enrolled</x:v>
      </x:c>
    </x:row>
    <x:row r="9">
      <x:c r="A9" s="46" t="str">
        <x:v>U-1005</x:v>
      </x:c>
      <x:c r="B9" s="47" t="str">
        <x:v>E-1005</x:v>
      </x:c>
      <x:c r="C9" s="47" t="str">
        <x:v>Olivia Hall</x:v>
      </x:c>
      <x:c r="D9" s="47" t="str">
        <x:v>olivia.hall4@northstarretail.com</x:v>
      </x:c>
      <x:c r="E9" s="47" t="str">
        <x:v>NSW</x:v>
      </x:c>
      <x:c r="F9" s="48" t="str">
        <x:v>Enrolled</x:v>
      </x:c>
    </x:row>
    <x:row r="10">
      <x:c r="A10" s="46" t="str">
        <x:v>U-1006</x:v>
      </x:c>
      <x:c r="B10" s="47" t="str">
        <x:v>E-1006</x:v>
      </x:c>
      <x:c r="C10" s="47" t="str">
        <x:v>Liam Baker</x:v>
      </x:c>
      <x:c r="D10" s="47" t="str">
        <x:v>liam.baker0@northstarretail.com</x:v>
      </x:c>
      <x:c r="E10" s="47" t="str">
        <x:v>VIC</x:v>
      </x:c>
      <x:c r="F10" s="48" t="str">
        <x:v>Enrolled</x:v>
      </x:c>
    </x:row>
    <x:row r="11">
      <x:c r="A11" s="46" t="str">
        <x:v>U-1008</x:v>
      </x:c>
      <x:c r="B11" s="47" t="str">
        <x:v>E-1008</x:v>
      </x:c>
      <x:c r="C11" s="47" t="str">
        <x:v>Leo Ng</x:v>
      </x:c>
      <x:c r="D11" s="47" t="str">
        <x:v>leo.ng2@northstarretail.com</x:v>
      </x:c>
      <x:c r="E11" s="47" t="str">
        <x:v>WA</x:v>
      </x:c>
      <x:c r="F11" s="48" t="str">
        <x:v>Enrolled</x:v>
      </x:c>
    </x:row>
    <x:row r="12">
      <x:c r="A12" s="46" t="str">
        <x:v>U-1009</x:v>
      </x:c>
      <x:c r="B12" s="47" t="str">
        <x:v>E-1009</x:v>
      </x:c>
      <x:c r="C12" s="47" t="str">
        <x:v>Aria Brown</x:v>
      </x:c>
      <x:c r="D12" s="47" t="str">
        <x:v>aria.brown31@northstarretail.com</x:v>
      </x:c>
      <x:c r="E12" s="47" t="str">
        <x:v>NSW</x:v>
      </x:c>
      <x:c r="F12" s="48" t="str">
        <x:v>Enrolled</x:v>
      </x:c>
    </x:row>
    <x:row r="13">
      <x:c r="A13" s="46" t="str">
        <x:v>U-1010</x:v>
      </x:c>
      <x:c r="B13" s="47" t="str">
        <x:v>E-1010</x:v>
      </x:c>
      <x:c r="C13" s="47" t="str">
        <x:v>Jack Lee</x:v>
      </x:c>
      <x:c r="D13" s="47" t="str">
        <x:v>jack.lee4@northstarretail.com</x:v>
      </x:c>
      <x:c r="E13" s="47" t="str">
        <x:v>VIC</x:v>
      </x:c>
      <x:c r="F13" s="48" t="str">
        <x:v>Enrolled</x:v>
      </x:c>
    </x:row>
    <x:row r="14">
      <x:c r="A14" s="46" t="str">
        <x:v>U-1011</x:v>
      </x:c>
      <x:c r="B14" s="47" t="str">
        <x:v>E-1011</x:v>
      </x:c>
      <x:c r="C14" s="47" t="str">
        <x:v>Isla King</x:v>
      </x:c>
      <x:c r="D14" s="47" t="str">
        <x:v>isla.king0@northstarretail.com</x:v>
      </x:c>
      <x:c r="E14" s="47" t="str">
        <x:v>QLD</x:v>
      </x:c>
      <x:c r="F14" s="48" t="str">
        <x:v>Enrolled</x:v>
      </x:c>
    </x:row>
    <x:row r="15">
      <x:c r="A15" s="46" t="str">
        <x:v>U-1012</x:v>
      </x:c>
      <x:c r="B15" s="47" t="str">
        <x:v>E-1012</x:v>
      </x:c>
      <x:c r="C15" s="47" t="str">
        <x:v>Henry Young</x:v>
      </x:c>
      <x:c r="D15" s="47" t="str">
        <x:v>henry.young1@northstarretail.com</x:v>
      </x:c>
      <x:c r="E15" s="47" t="str">
        <x:v>WA</x:v>
      </x:c>
      <x:c r="F15" s="48" t="str">
        <x:v>Enrolled</x:v>
      </x:c>
    </x:row>
    <x:row r="16">
      <x:c r="A16" s="46" t="str">
        <x:v>U-1013</x:v>
      </x:c>
      <x:c r="B16" s="47" t="str">
        <x:v>E-1013</x:v>
      </x:c>
      <x:c r="C16" s="47" t="str">
        <x:v>Grace Adams</x:v>
      </x:c>
      <x:c r="D16" s="47" t="str">
        <x:v>grace.adams2@northstarretail.com</x:v>
      </x:c>
      <x:c r="E16" s="47" t="str">
        <x:v>NSW</x:v>
      </x:c>
      <x:c r="F16" s="48" t="str">
        <x:v>Enrolled</x:v>
      </x:c>
    </x:row>
    <x:row r="17">
      <x:c r="A17" s="46" t="str">
        <x:v>U-1014</x:v>
      </x:c>
      <x:c r="B17" s="47" t="str">
        <x:v>E-1014</x:v>
      </x:c>
      <x:c r="C17" s="47" t="str">
        <x:v>Lucas Hill</x:v>
      </x:c>
      <x:c r="D17" s="47" t="str">
        <x:v>lucas.hill3@northstarretail.com</x:v>
      </x:c>
      <x:c r="E17" s="47" t="str">
        <x:v>VIC</x:v>
      </x:c>
      <x:c r="F17" s="48" t="str">
        <x:v>Enrolled</x:v>
      </x:c>
    </x:row>
    <x:row r="18">
      <x:c r="A18" s="46" t="str">
        <x:v>U-1015</x:v>
      </x:c>
      <x:c r="B18" s="47" t="str">
        <x:v>E-1015</x:v>
      </x:c>
      <x:c r="C18" s="47" t="str">
        <x:v>Chloe Patel</x:v>
      </x:c>
      <x:c r="D18" s="47" t="str">
        <x:v>chloe.patel4@northstarretail.com</x:v>
      </x:c>
      <x:c r="E18" s="47" t="str">
        <x:v>QLD</x:v>
      </x:c>
      <x:c r="F18" s="48" t="str">
        <x:v>Enrolled</x:v>
      </x:c>
    </x:row>
    <x:row r="19">
      <x:c r="A19" s="46" t="str">
        <x:v>U-1016</x:v>
      </x:c>
      <x:c r="B19" s="47" t="str">
        <x:v>E-1016</x:v>
      </x:c>
      <x:c r="C19" s="47" t="str">
        <x:v>James Singh</x:v>
      </x:c>
      <x:c r="D19" s="47" t="str">
        <x:v>james.singh0@northstarretail.com</x:v>
      </x:c>
      <x:c r="E19" s="47" t="str">
        <x:v>WA</x:v>
      </x:c>
      <x:c r="F19" s="48" t="str">
        <x:v>Enrolled</x:v>
      </x:c>
    </x:row>
    <x:row r="20">
      <x:c r="A20" s="46" t="str">
        <x:v>U-1017</x:v>
      </x:c>
      <x:c r="B20" s="47" t="str">
        <x:v>E-1017</x:v>
      </x:c>
      <x:c r="C20" s="47" t="str">
        <x:v>Ella Walker</x:v>
      </x:c>
      <x:c r="D20" s="47" t="str">
        <x:v>ella.walker1@northstarretail.com</x:v>
      </x:c>
      <x:c r="E20" s="47" t="str">
        <x:v>NSW</x:v>
      </x:c>
      <x:c r="F20" s="48" t="str">
        <x:v>Enrolled</x:v>
      </x:c>
    </x:row>
    <x:row r="21">
      <x:c r="A21" s="46" t="str">
        <x:v>U-1018</x:v>
      </x:c>
      <x:c r="B21" s="47" t="str">
        <x:v>E-1018</x:v>
      </x:c>
      <x:c r="C21" s="47" t="str">
        <x:v>Oscar Scott</x:v>
      </x:c>
      <x:c r="D21" s="47" t="str">
        <x:v>oscar.scott2@northstarretail.com</x:v>
      </x:c>
      <x:c r="E21" s="47" t="str">
        <x:v>VIC</x:v>
      </x:c>
      <x:c r="F21" s="48" t="str">
        <x:v>Enrolled</x:v>
      </x:c>
    </x:row>
    <x:row r="22">
      <x:c r="A22" s="46" t="str">
        <x:v>U-1019</x:v>
      </x:c>
      <x:c r="B22" s="47" t="str">
        <x:v>E-1019</x:v>
      </x:c>
      <x:c r="C22" s="47" t="str">
        <x:v>Zoe Green</x:v>
      </x:c>
      <x:c r="D22" s="47" t="str">
        <x:v>zoe.green3@northstarretail.com</x:v>
      </x:c>
      <x:c r="E22" s="47" t="str">
        <x:v>QLD</x:v>
      </x:c>
      <x:c r="F22" s="48" t="str">
        <x:v>Enrolled</x:v>
      </x:c>
    </x:row>
    <x:row r="23">
      <x:c r="A23" s="46" t="str">
        <x:v>U-1020</x:v>
      </x:c>
      <x:c r="B23" s="47" t="str">
        <x:v>E-1020</x:v>
      </x:c>
      <x:c r="C23" s="47" t="str">
        <x:v>William Clark</x:v>
      </x:c>
      <x:c r="D23" s="47" t="str">
        <x:v>william.clark4@northstarretail.com</x:v>
      </x:c>
      <x:c r="E23" s="47" t="str">
        <x:v>WA</x:v>
      </x:c>
      <x:c r="F23" s="48" t="str">
        <x:v>Enrolled</x:v>
      </x:c>
    </x:row>
    <x:row r="24">
      <x:c r="A24" s="46" t="str">
        <x:v>U-1022</x:v>
      </x:c>
      <x:c r="B24" s="47" t="str">
        <x:v>E-1022</x:v>
      </x:c>
      <x:c r="C24" s="47" t="str">
        <x:v>Noah Wilson</x:v>
      </x:c>
      <x:c r="D24" s="47" t="str">
        <x:v>noah.wilson1@northstarretail.com</x:v>
      </x:c>
      <x:c r="E24" s="47" t="str">
        <x:v>VIC</x:v>
      </x:c>
      <x:c r="F24" s="48" t="str">
        <x:v>Enrolled</x:v>
      </x:c>
    </x:row>
    <x:row r="25">
      <x:c r="A25" s="46" t="str">
        <x:v>U-1023</x:v>
      </x:c>
      <x:c r="B25" s="47" t="str">
        <x:v>E-1023</x:v>
      </x:c>
      <x:c r="C25" s="47" t="str">
        <x:v>Mia Martin</x:v>
      </x:c>
      <x:c r="D25" s="47" t="str">
        <x:v>mia.martin2@northstarretail.com</x:v>
      </x:c>
      <x:c r="E25" s="47" t="str">
        <x:v>QLD</x:v>
      </x:c>
      <x:c r="F25" s="48" t="str">
        <x:v>Enrolled</x:v>
      </x:c>
    </x:row>
    <x:row r="26">
      <x:c r="A26" s="46" t="str">
        <x:v>U-1024</x:v>
      </x:c>
      <x:c r="B26" s="47" t="str">
        <x:v>E-1024</x:v>
      </x:c>
      <x:c r="C26" s="47" t="str">
        <x:v>Ethan Chen</x:v>
      </x:c>
      <x:c r="D26" s="47" t="str">
        <x:v>ethan.chen3@northstarretail.com</x:v>
      </x:c>
      <x:c r="E26" s="47" t="str">
        <x:v>WA</x:v>
      </x:c>
      <x:c r="F26" s="48" t="str">
        <x:v>Enrolled</x:v>
      </x:c>
    </x:row>
    <x:row r="27">
      <x:c r="A27" s="46" t="str">
        <x:v>U-1025</x:v>
      </x:c>
      <x:c r="B27" s="47" t="str">
        <x:v>E-1025</x:v>
      </x:c>
      <x:c r="C27" s="47" t="str">
        <x:v>Olivia Hall</x:v>
      </x:c>
      <x:c r="D27" s="47" t="str">
        <x:v>olivia.hall4@northstarretail.com</x:v>
      </x:c>
      <x:c r="E27" s="47" t="str">
        <x:v>NSW</x:v>
      </x:c>
      <x:c r="F27" s="48" t="str">
        <x:v>Enrolled</x:v>
      </x:c>
    </x:row>
    <x:row r="28">
      <x:c r="A28" s="46" t="str">
        <x:v>U-1026</x:v>
      </x:c>
      <x:c r="B28" s="47" t="str">
        <x:v>E-1026</x:v>
      </x:c>
      <x:c r="C28" s="47" t="str">
        <x:v>Liam Baker</x:v>
      </x:c>
      <x:c r="D28" s="47" t="str">
        <x:v>liam.baker0@northstarretail.com</x:v>
      </x:c>
      <x:c r="E28" s="47" t="str">
        <x:v>VIC</x:v>
      </x:c>
      <x:c r="F28" s="48" t="str">
        <x:v>Enrolled</x:v>
      </x:c>
    </x:row>
    <x:row r="29">
      <x:c r="A29" s="46" t="str">
        <x:v>U-1027</x:v>
      </x:c>
      <x:c r="B29" s="47" t="str">
        <x:v>E-1027</x:v>
      </x:c>
      <x:c r="C29" s="47" t="str">
        <x:v>Sophie Evans</x:v>
      </x:c>
      <x:c r="D29" s="47" t="str">
        <x:v>sophie.evans1@northstarretail.com</x:v>
      </x:c>
      <x:c r="E29" s="47" t="str">
        <x:v>QLD</x:v>
      </x:c>
      <x:c r="F29" s="48" t="str">
        <x:v>Enrolled</x:v>
      </x:c>
    </x:row>
    <x:row r="30">
      <x:c r="A30" s="46" t="str">
        <x:v>U-1028</x:v>
      </x:c>
      <x:c r="B30" s="47" t="str">
        <x:v>E-1028</x:v>
      </x:c>
      <x:c r="C30" s="47" t="str">
        <x:v>Leo Ng</x:v>
      </x:c>
      <x:c r="D30" s="47" t="str">
        <x:v>leo.ng2@northstarretail.com</x:v>
      </x:c>
      <x:c r="E30" s="47" t="str">
        <x:v>NZ</x:v>
      </x:c>
      <x:c r="F30" s="48" t="str">
        <x:v>Enrolled</x:v>
      </x:c>
    </x:row>
    <x:row r="31">
      <x:c r="A31" s="46" t="str">
        <x:v>U-1029</x:v>
      </x:c>
      <x:c r="B31" s="47" t="str">
        <x:v>E-1029</x:v>
      </x:c>
      <x:c r="C31" s="47" t="str">
        <x:v>Aria Brown</x:v>
      </x:c>
      <x:c r="D31" s="47" t="str">
        <x:v>aria.brown3@northstarretail.com</x:v>
      </x:c>
      <x:c r="E31" s="47" t="str">
        <x:v>NSW</x:v>
      </x:c>
      <x:c r="F31" s="48" t="str">
        <x:v>Enrolled</x:v>
      </x:c>
    </x:row>
    <x:row r="32">
      <x:c r="A32" s="46" t="str">
        <x:v>U-1030</x:v>
      </x:c>
      <x:c r="B32" s="47" t="str">
        <x:v>E-1030</x:v>
      </x:c>
      <x:c r="C32" s="47" t="str">
        <x:v>Jack Lee</x:v>
      </x:c>
      <x:c r="D32" s="47" t="str">
        <x:v>jack.lee4@northstarretail.com</x:v>
      </x:c>
      <x:c r="E32" s="47" t="str">
        <x:v>VIC</x:v>
      </x:c>
      <x:c r="F32" s="48" t="str">
        <x:v>Enrolled</x:v>
      </x:c>
    </x:row>
    <x:row r="33">
      <x:c r="A33" s="46" t="str">
        <x:v>U-1031</x:v>
      </x:c>
      <x:c r="B33" s="47" t="str">
        <x:v>E-1031</x:v>
      </x:c>
      <x:c r="C33" s="47" t="str">
        <x:v>Isla King</x:v>
      </x:c>
      <x:c r="D33" s="47" t="str">
        <x:v>isla.king0@northstarretail.com</x:v>
      </x:c>
      <x:c r="E33" s="47" t="str">
        <x:v>QLD</x:v>
      </x:c>
      <x:c r="F33" s="48" t="str">
        <x:v>Enrolled</x:v>
      </x:c>
    </x:row>
    <x:row r="34">
      <x:c r="A34" s="46" t="str">
        <x:v>U-1032</x:v>
      </x:c>
      <x:c r="B34" s="47" t="str">
        <x:v>E-1032</x:v>
      </x:c>
      <x:c r="C34" s="47" t="str">
        <x:v>Henry Young</x:v>
      </x:c>
      <x:c r="D34" s="47" t="str">
        <x:v>henry.young1@northstarretail.com</x:v>
      </x:c>
      <x:c r="E34" s="47" t="str">
        <x:v>WA</x:v>
      </x:c>
      <x:c r="F34" s="48" t="str">
        <x:v>Enrolled</x:v>
      </x:c>
    </x:row>
    <x:row r="35">
      <x:c r="A35" s="46" t="str">
        <x:v>U-1033</x:v>
      </x:c>
      <x:c r="B35" s="47" t="str">
        <x:v>E-1033</x:v>
      </x:c>
      <x:c r="C35" s="47" t="str">
        <x:v>Grace Adams</x:v>
      </x:c>
      <x:c r="D35" s="47" t="str">
        <x:v>shared.alias@northstarretail.com</x:v>
      </x:c>
      <x:c r="E35" s="47" t="str">
        <x:v>NSW</x:v>
      </x:c>
      <x:c r="F35" s="48" t="str">
        <x:v>Enrolled</x:v>
      </x:c>
    </x:row>
    <x:row r="36">
      <x:c r="A36" s="46" t="str">
        <x:v>U-1034</x:v>
      </x:c>
      <x:c r="B36" s="47" t="str">
        <x:v>E-1034</x:v>
      </x:c>
      <x:c r="C36" s="47" t="str">
        <x:v>Lucas Hill</x:v>
      </x:c>
      <x:c r="D36" s="47" t="str">
        <x:v>lucas.hill3@northstarretail.com</x:v>
      </x:c>
      <x:c r="E36" s="47" t="str">
        <x:v>VIC</x:v>
      </x:c>
      <x:c r="F36" s="48" t="str">
        <x:v>Enrolled</x:v>
      </x:c>
    </x:row>
    <x:row r="37">
      <x:c r="A37" s="46" t="str">
        <x:v>U-1035</x:v>
      </x:c>
      <x:c r="B37" s="47" t="str">
        <x:v>E-1035</x:v>
      </x:c>
      <x:c r="C37" s="47" t="str">
        <x:v>Chloe Patel</x:v>
      </x:c>
      <x:c r="D37" s="47" t="str">
        <x:v>chloe.patel4@northstarretail.com</x:v>
      </x:c>
      <x:c r="E37" s="47" t="str">
        <x:v>QLD</x:v>
      </x:c>
      <x:c r="F37" s="48" t="str">
        <x:v>Enrolled</x:v>
      </x:c>
    </x:row>
    <x:row r="38">
      <x:c r="A38" s="46" t="str">
        <x:v>U-1036</x:v>
      </x:c>
      <x:c r="B38" s="47" t="str">
        <x:v>E-1036</x:v>
      </x:c>
      <x:c r="C38" s="47" t="str">
        <x:v>James Singh</x:v>
      </x:c>
      <x:c r="D38" s="47" t="str">
        <x:v>james.singh0@northstarretail.com</x:v>
      </x:c>
      <x:c r="E38" s="47" t="str">
        <x:v>WA</x:v>
      </x:c>
      <x:c r="F38" s="48" t="str">
        <x:v>Enrolled</x:v>
      </x:c>
    </x:row>
    <x:row r="39">
      <x:c r="A39" s="46" t="str">
        <x:v>U-1037</x:v>
      </x:c>
      <x:c r="B39" s="47" t="str">
        <x:v>E-1037</x:v>
      </x:c>
      <x:c r="C39" s="47" t="str">
        <x:v>Ella Walker</x:v>
      </x:c>
      <x:c r="D39" s="47" t="str">
        <x:v>ella.walker1@northstarretail.com</x:v>
      </x:c>
      <x:c r="E39" s="47" t="str">
        <x:v>NSW</x:v>
      </x:c>
      <x:c r="F39" s="48" t="str">
        <x:v>Enrolled</x:v>
      </x:c>
    </x:row>
    <x:row r="40">
      <x:c r="A40" s="46" t="str">
        <x:v>U-1038</x:v>
      </x:c>
      <x:c r="B40" s="47" t="str">
        <x:v>E-1038</x:v>
      </x:c>
      <x:c r="C40" s="47" t="str">
        <x:v>Oscar Scott</x:v>
      </x:c>
      <x:c r="D40" s="47" t="str">
        <x:v>oscar.scott2@northstarretail.com</x:v>
      </x:c>
      <x:c r="E40" s="47" t="str">
        <x:v>VIC</x:v>
      </x:c>
      <x:c r="F40" s="48" t="str">
        <x:v>Enrolled</x:v>
      </x:c>
    </x:row>
    <x:row r="41">
      <x:c r="A41" s="46" t="str">
        <x:v>U-1039</x:v>
      </x:c>
      <x:c r="B41" s="47" t="str">
        <x:v>E-1039</x:v>
      </x:c>
      <x:c r="C41" s="47" t="str">
        <x:v>Zoe Green</x:v>
      </x:c>
      <x:c r="D41" s="47" t="str">
        <x:v>zoe.green3@northstarretail.com</x:v>
      </x:c>
      <x:c r="E41" s="47" t="str">
        <x:v>QLD</x:v>
      </x:c>
      <x:c r="F41" s="48" t="str">
        <x:v>Enrolled</x:v>
      </x:c>
    </x:row>
    <x:row r="42">
      <x:c r="A42" s="46" t="str">
        <x:v>U-1040</x:v>
      </x:c>
      <x:c r="B42" s="47" t="str">
        <x:v>E-1040</x:v>
      </x:c>
      <x:c r="C42" s="47" t="str">
        <x:v>William Clark</x:v>
      </x:c>
      <x:c r="D42" s="47" t="str">
        <x:v>william.clark4@northstarretail.com</x:v>
      </x:c>
      <x:c r="E42" s="47" t="str">
        <x:v>WA</x:v>
      </x:c>
      <x:c r="F42" s="48" t="str">
        <x:v>Enrolled</x:v>
      </x:c>
    </x:row>
    <x:row r="43">
      <x:c r="A43" s="46" t="str">
        <x:v>U-1041</x:v>
      </x:c>
      <x:c r="B43" s="47" t="str">
        <x:v>E-1041</x:v>
      </x:c>
      <x:c r="C43" s="47" t="str">
        <x:v>Ava Taylor</x:v>
      </x:c>
      <x:c r="D43" s="47" t="str">
        <x:v>ava.taylor0@northstarretail.com</x:v>
      </x:c>
      <x:c r="E43" s="47" t="str">
        <x:v>NSW</x:v>
      </x:c>
      <x:c r="F43" s="48" t="str">
        <x:v>Enrolled</x:v>
      </x:c>
    </x:row>
    <x:row r="44">
      <x:c r="A44" s="46" t="str">
        <x:v>U-1042</x:v>
      </x:c>
      <x:c r="B44" s="47" t="str">
        <x:v>E-1042</x:v>
      </x:c>
      <x:c r="C44" s="47" t="str">
        <x:v>Noah Wilson</x:v>
      </x:c>
      <x:c r="D44" s="47" t="str">
        <x:v>noah.wilson1@northstarretail.com</x:v>
      </x:c>
      <x:c r="E44" s="47" t="str">
        <x:v>VIC</x:v>
      </x:c>
      <x:c r="F44" s="48" t="str">
        <x:v>Enrolled</x:v>
      </x:c>
    </x:row>
    <x:row r="45">
      <x:c r="A45" s="46" t="str">
        <x:v>U-1044</x:v>
      </x:c>
      <x:c r="B45" s="47" t="str">
        <x:v>E-1044</x:v>
      </x:c>
      <x:c r="C45" s="47" t="str">
        <x:v>Ethan Chen</x:v>
      </x:c>
      <x:c r="D45" s="47" t="str">
        <x:v>ethan.chen3@northstarretail.com</x:v>
      </x:c>
      <x:c r="E45" s="47" t="str">
        <x:v>WA</x:v>
      </x:c>
      <x:c r="F45" s="48" t="str">
        <x:v>Enrolled</x:v>
      </x:c>
    </x:row>
    <x:row r="46">
      <x:c r="A46" s="46" t="str">
        <x:v>U-1045</x:v>
      </x:c>
      <x:c r="B46" s="47" t="str">
        <x:v>E-1045</x:v>
      </x:c>
      <x:c r="C46" s="47" t="str">
        <x:v>Olivia Hall</x:v>
      </x:c>
      <x:c r="D46" s="47" t="str">
        <x:v>olivia.hall4@northstarretail.com</x:v>
      </x:c>
      <x:c r="E46" s="47" t="str">
        <x:v>NSW</x:v>
      </x:c>
      <x:c r="F46" s="48" t="str">
        <x:v>Enrolled</x:v>
      </x:c>
    </x:row>
    <x:row r="47">
      <x:c r="A47" s="46" t="str">
        <x:v>U-1046</x:v>
      </x:c>
      <x:c r="B47" s="47" t="str">
        <x:v>E-1046</x:v>
      </x:c>
      <x:c r="C47" s="47" t="str">
        <x:v>Liam Baker</x:v>
      </x:c>
      <x:c r="D47" s="47" t="str">
        <x:v>liam.baker0@northstarretail.com</x:v>
      </x:c>
      <x:c r="E47" s="47" t="str">
        <x:v>VIC</x:v>
      </x:c>
      <x:c r="F47" s="48" t="str">
        <x:v>Enrolled</x:v>
      </x:c>
    </x:row>
    <x:row r="48">
      <x:c r="A48" s="46" t="str">
        <x:v>U-1047</x:v>
      </x:c>
      <x:c r="B48" s="47" t="str">
        <x:v>E-1047</x:v>
      </x:c>
      <x:c r="C48" s="47" t="str">
        <x:v>Sophie Evans</x:v>
      </x:c>
      <x:c r="D48" s="47" t="str">
        <x:v>sophie.evans1@northstarretail.com</x:v>
      </x:c>
      <x:c r="E48" s="47" t="str">
        <x:v>QLD</x:v>
      </x:c>
      <x:c r="F48" s="48" t="str">
        <x:v>Enrolled</x:v>
      </x:c>
    </x:row>
    <x:row r="49">
      <x:c r="A49" s="46" t="str">
        <x:v>U-1048</x:v>
      </x:c>
      <x:c r="B49" s="47" t="str">
        <x:v>E-1048</x:v>
      </x:c>
      <x:c r="C49" s="47" t="str">
        <x:v>Leo Ng</x:v>
      </x:c>
      <x:c r="D49" s="47" t="str">
        <x:v>leo.ng2@northstarretail.com</x:v>
      </x:c>
      <x:c r="E49" s="47" t="str">
        <x:v>WA</x:v>
      </x:c>
      <x:c r="F49" s="48" t="str">
        <x:v>Enrolled</x:v>
      </x:c>
    </x:row>
    <x:row r="50">
      <x:c r="A50" s="46" t="str">
        <x:v>U-1049</x:v>
      </x:c>
      <x:c r="B50" s="47" t="str">
        <x:v>E-1049</x:v>
      </x:c>
      <x:c r="C50" s="47" t="str">
        <x:v>Aria Brown</x:v>
      </x:c>
      <x:c r="D50" s="47" t="str">
        <x:v>aria.brown3@northstarretail.com</x:v>
      </x:c>
      <x:c r="E50" s="47" t="str">
        <x:v>NSW</x:v>
      </x:c>
      <x:c r="F50" s="48" t="str">
        <x:v>Enrolled</x:v>
      </x:c>
    </x:row>
    <x:row r="51">
      <x:c r="A51" s="46" t="str">
        <x:v>U-1050</x:v>
      </x:c>
      <x:c r="B51" s="47" t="str">
        <x:v>E-1050</x:v>
      </x:c>
      <x:c r="C51" s="47" t="str">
        <x:v>Jack Lee</x:v>
      </x:c>
      <x:c r="D51" s="47" t="str">
        <x:v>jack.lee4@northstarretail.com</x:v>
      </x:c>
      <x:c r="E51" s="47" t="str">
        <x:v>VIC</x:v>
      </x:c>
      <x:c r="F51" s="48" t="str">
        <x:v>Enrolled</x:v>
      </x:c>
    </x:row>
    <x:row r="52">
      <x:c r="A52" s="46" t="str">
        <x:v>U-1091</x:v>
      </x:c>
      <x:c r="B52" s="47" t="str">
        <x:v>E-1091</x:v>
      </x:c>
      <x:c r="C52" s="47" t="str">
        <x:v>Nina Roy</x:v>
      </x:c>
      <x:c r="D52" s="47" t="str">
        <x:v>nina.roy@northstarretail.com</x:v>
      </x:c>
      <x:c r="E52" s="47" t="str">
        <x:v>NSW</x:v>
      </x:c>
      <x:c r="F52" s="48" t="str">
        <x:v>Enrolled</x:v>
      </x:c>
    </x:row>
    <x:row r="53">
      <x:c r="A53" s="46" t="str">
        <x:v>U-1092</x:v>
      </x:c>
      <x:c r="B53" s="47" t="str">
        <x:v>E-1092</x:v>
      </x:c>
      <x:c r="C53" s="47" t="str">
        <x:v>Tom Lewis</x:v>
      </x:c>
      <x:c r="D53" s="47" t="str">
        <x:v>tom.lewis@northstarretail.com</x:v>
      </x:c>
      <x:c r="E53" s="47" t="str">
        <x:v>VIC</x:v>
      </x:c>
      <x:c r="F53" s="48" t="str">
        <x:v>Enrolled</x:v>
      </x:c>
    </x:row>
    <x:row r="54">
      <x:c r="A54" s="49" t="str">
        <x:v>U-2014</x:v>
      </x:c>
      <x:c r="B54" s="50" t="str">
        <x:v>E-1014</x:v>
      </x:c>
      <x:c r="C54" s="50" t="str">
        <x:v>Lucas Hill</x:v>
      </x:c>
      <x:c r="D54" s="50" t="str">
        <x:v>lucas.hill3@northstarretail.com</x:v>
      </x:c>
      <x:c r="E54" s="50" t="str">
        <x:v>VIC</x:v>
      </x:c>
      <x:c r="F54" s="53" t="str">
        <x:v>Enrolled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abf340bef314e5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2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8" customHeight="1">
      <x:c r="A1" s="4" t="str">
        <x:v>Zava Team Challenge Monthly KPI Performance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10" t="str">
        <x:v>Scenario: turn monthly operating data into quarterly variance analysis and a leadership narrative. Some metrics are better when higher; others are better when lower.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>
      <x:c r="A4" s="24" t="str">
        <x:v>Metric</x:v>
      </x:c>
      <x:c r="B4" s="25" t="str">
        <x:v>Unit</x:v>
      </x:c>
      <x:c r="C4" s="25" t="str">
        <x:v>Aggregation</x:v>
      </x:c>
      <x:c r="D4" s="25" t="str">
        <x:v>Favorable Direction</x:v>
      </x:c>
      <x:c r="E4" s="25" t="str">
        <x:v>Jan</x:v>
      </x:c>
      <x:c r="F4" s="25" t="str">
        <x:v>Feb</x:v>
      </x:c>
      <x:c r="G4" s="25" t="str">
        <x:v>Mar</x:v>
      </x:c>
      <x:c r="H4" s="25" t="str">
        <x:v>Apr</x:v>
      </x:c>
      <x:c r="I4" s="25" t="str">
        <x:v>May</x:v>
      </x:c>
      <x:c r="J4" s="25" t="str">
        <x:v>Jun</x:v>
      </x:c>
      <x:c r="K4" s="25" t="str">
        <x:v>Jul</x:v>
      </x:c>
      <x:c r="L4" s="25" t="str">
        <x:v>Aug</x:v>
      </x:c>
      <x:c r="M4" s="25" t="str">
        <x:v>Sep</x:v>
      </x:c>
      <x:c r="N4" s="25" t="str">
        <x:v>Oct</x:v>
      </x:c>
      <x:c r="O4" s="25" t="str">
        <x:v>Nov</x:v>
      </x:c>
      <x:c r="P4" s="26" t="str">
        <x:v>Dec</x:v>
      </x:c>
    </x:row>
    <x:row r="5">
      <x:c r="A5" s="46" t="str">
        <x:v>Eligible Employees</x:v>
      </x:c>
      <x:c r="B5" s="47" t="str">
        <x:v>count</x:v>
      </x:c>
      <x:c r="C5" s="47" t="str">
        <x:v>Average</x:v>
      </x:c>
      <x:c r="D5" s="47" t="str">
        <x:v>Higher</x:v>
      </x:c>
      <x:c r="E5" s="103" t="n">
        <x:v>1320</x:v>
      </x:c>
      <x:c r="F5" s="103" t="n">
        <x:v>1350</x:v>
      </x:c>
      <x:c r="G5" s="103" t="n">
        <x:v>1380</x:v>
      </x:c>
      <x:c r="H5" s="103" t="n">
        <x:v>1420</x:v>
      </x:c>
      <x:c r="I5" s="103" t="n">
        <x:v>1480</x:v>
      </x:c>
      <x:c r="J5" s="103" t="n">
        <x:v>1500</x:v>
      </x:c>
      <x:c r="K5" s="103" t="n">
        <x:v>1550</x:v>
      </x:c>
      <x:c r="L5" s="103" t="n">
        <x:v>1600</x:v>
      </x:c>
      <x:c r="M5" s="103" t="n">
        <x:v>1650</x:v>
      </x:c>
      <x:c r="N5" s="103" t="n">
        <x:v>1710</x:v>
      </x:c>
      <x:c r="O5" s="103" t="n">
        <x:v>1760</x:v>
      </x:c>
      <x:c r="P5" s="107" t="n">
        <x:v>1800</x:v>
      </x:c>
    </x:row>
    <x:row r="6">
      <x:c r="A6" s="46" t="str">
        <x:v>Opt-in Rate</x:v>
      </x:c>
      <x:c r="B6" s="47" t="str">
        <x:v>%</x:v>
      </x:c>
      <x:c r="C6" s="47" t="str">
        <x:v>Average</x:v>
      </x:c>
      <x:c r="D6" s="47" t="str">
        <x:v>Higher</x:v>
      </x:c>
      <x:c r="E6" s="105" t="n">
        <x:v>0.31</x:v>
      </x:c>
      <x:c r="F6" s="105" t="n">
        <x:v>0.32</x:v>
      </x:c>
      <x:c r="G6" s="105" t="n">
        <x:v>0.33</x:v>
      </x:c>
      <x:c r="H6" s="105" t="n">
        <x:v>0.34</x:v>
      </x:c>
      <x:c r="I6" s="105" t="n">
        <x:v>0.35</x:v>
      </x:c>
      <x:c r="J6" s="105" t="n">
        <x:v>0.36</x:v>
      </x:c>
      <x:c r="K6" s="105" t="n">
        <x:v>0.37</x:v>
      </x:c>
      <x:c r="L6" s="105" t="n">
        <x:v>0.38</x:v>
      </x:c>
      <x:c r="M6" s="105" t="n">
        <x:v>0.39</x:v>
      </x:c>
      <x:c r="N6" s="105" t="n">
        <x:v>0.4</x:v>
      </x:c>
      <x:c r="O6" s="105" t="n">
        <x:v>0.41</x:v>
      </x:c>
      <x:c r="P6" s="108" t="n">
        <x:v>0.42</x:v>
      </x:c>
    </x:row>
    <x:row r="7">
      <x:c r="A7" s="46" t="str">
        <x:v>Week 3 Retention</x:v>
      </x:c>
      <x:c r="B7" s="47" t="str">
        <x:v>%</x:v>
      </x:c>
      <x:c r="C7" s="47" t="str">
        <x:v>Average</x:v>
      </x:c>
      <x:c r="D7" s="47" t="str">
        <x:v>Higher</x:v>
      </x:c>
      <x:c r="E7" s="105" t="n">
        <x:v>0.52</x:v>
      </x:c>
      <x:c r="F7" s="105" t="n">
        <x:v>0.53</x:v>
      </x:c>
      <x:c r="G7" s="105" t="n">
        <x:v>0.54</x:v>
      </x:c>
      <x:c r="H7" s="105" t="n">
        <x:v>0.55</x:v>
      </x:c>
      <x:c r="I7" s="105" t="n">
        <x:v>0.56</x:v>
      </x:c>
      <x:c r="J7" s="105" t="n">
        <x:v>0.56</x:v>
      </x:c>
      <x:c r="K7" s="105" t="n">
        <x:v>0.57</x:v>
      </x:c>
      <x:c r="L7" s="105" t="n">
        <x:v>0.58</x:v>
      </x:c>
      <x:c r="M7" s="105" t="n">
        <x:v>0.58</x:v>
      </x:c>
      <x:c r="N7" s="105" t="n">
        <x:v>0.51</x:v>
      </x:c>
      <x:c r="O7" s="105" t="n">
        <x:v>0.54</x:v>
      </x:c>
      <x:c r="P7" s="108" t="n">
        <x:v>0.57</x:v>
      </x:c>
    </x:row>
    <x:row r="8">
      <x:c r="A8" s="46" t="str">
        <x:v>Avg Sessions / Active User</x:v>
      </x:c>
      <x:c r="B8" s="47" t="str">
        <x:v>sessions</x:v>
      </x:c>
      <x:c r="C8" s="47" t="str">
        <x:v>Average</x:v>
      </x:c>
      <x:c r="D8" s="47" t="str">
        <x:v>Higher</x:v>
      </x:c>
      <x:c r="E8" s="103" t="n">
        <x:v>1.9</x:v>
      </x:c>
      <x:c r="F8" s="103" t="n">
        <x:v>2</x:v>
      </x:c>
      <x:c r="G8" s="103" t="n">
        <x:v>2</x:v>
      </x:c>
      <x:c r="H8" s="103" t="n">
        <x:v>2.1</x:v>
      </x:c>
      <x:c r="I8" s="103" t="n">
        <x:v>2.1</x:v>
      </x:c>
      <x:c r="J8" s="103" t="n">
        <x:v>2.2</x:v>
      </x:c>
      <x:c r="K8" s="103" t="n">
        <x:v>2.2</x:v>
      </x:c>
      <x:c r="L8" s="103" t="n">
        <x:v>2.3</x:v>
      </x:c>
      <x:c r="M8" s="103" t="n">
        <x:v>2.4</x:v>
      </x:c>
      <x:c r="N8" s="103" t="n">
        <x:v>2.2</x:v>
      </x:c>
      <x:c r="O8" s="103" t="n">
        <x:v>2.4</x:v>
      </x:c>
      <x:c r="P8" s="107" t="n">
        <x:v>2.5</x:v>
      </x:c>
    </x:row>
    <x:row r="9">
      <x:c r="A9" s="46" t="str">
        <x:v>Completion Rate</x:v>
      </x:c>
      <x:c r="B9" s="47" t="str">
        <x:v>%</x:v>
      </x:c>
      <x:c r="C9" s="47" t="str">
        <x:v>Average</x:v>
      </x:c>
      <x:c r="D9" s="47" t="str">
        <x:v>Higher</x:v>
      </x:c>
      <x:c r="E9" s="105" t="n">
        <x:v>0.38</x:v>
      </x:c>
      <x:c r="F9" s="105" t="n">
        <x:v>0.39</x:v>
      </x:c>
      <x:c r="G9" s="105" t="n">
        <x:v>0.4</x:v>
      </x:c>
      <x:c r="H9" s="105" t="n">
        <x:v>0.41</x:v>
      </x:c>
      <x:c r="I9" s="105" t="n">
        <x:v>0.42</x:v>
      </x:c>
      <x:c r="J9" s="105" t="n">
        <x:v>0.43</x:v>
      </x:c>
      <x:c r="K9" s="105" t="n">
        <x:v>0.44</x:v>
      </x:c>
      <x:c r="L9" s="105" t="n">
        <x:v>0.45</x:v>
      </x:c>
      <x:c r="M9" s="105" t="n">
        <x:v>0.46</x:v>
      </x:c>
      <x:c r="N9" s="105" t="n">
        <x:v>0.43</x:v>
      </x:c>
      <x:c r="O9" s="105" t="n">
        <x:v>0.46</x:v>
      </x:c>
      <x:c r="P9" s="108" t="n">
        <x:v>0.48</x:v>
      </x:c>
    </x:row>
    <x:row r="10">
      <x:c r="A10" s="46" t="str">
        <x:v>Support Tickets / 100 Users</x:v>
      </x:c>
      <x:c r="B10" s="47" t="str">
        <x:v>tickets</x:v>
      </x:c>
      <x:c r="C10" s="47" t="str">
        <x:v>Average</x:v>
      </x:c>
      <x:c r="D10" s="47" t="str">
        <x:v>Lower</x:v>
      </x:c>
      <x:c r="E10" s="103" t="n">
        <x:v>4.8</x:v>
      </x:c>
      <x:c r="F10" s="103" t="n">
        <x:v>4.5</x:v>
      </x:c>
      <x:c r="G10" s="103" t="n">
        <x:v>4.2</x:v>
      </x:c>
      <x:c r="H10" s="103" t="n">
        <x:v>4</x:v>
      </x:c>
      <x:c r="I10" s="103" t="n">
        <x:v>3.8</x:v>
      </x:c>
      <x:c r="J10" s="103" t="n">
        <x:v>3.6</x:v>
      </x:c>
      <x:c r="K10" s="103" t="n">
        <x:v>3.5</x:v>
      </x:c>
      <x:c r="L10" s="103" t="n">
        <x:v>3.3</x:v>
      </x:c>
      <x:c r="M10" s="103" t="n">
        <x:v>3.1</x:v>
      </x:c>
      <x:c r="N10" s="103" t="n">
        <x:v>5.6</x:v>
      </x:c>
      <x:c r="O10" s="103" t="n">
        <x:v>4.2</x:v>
      </x:c>
      <x:c r="P10" s="107" t="n">
        <x:v>3.2</x:v>
      </x:c>
    </x:row>
    <x:row r="11">
      <x:c r="A11" s="46" t="str">
        <x:v>Avg Resolution Hours</x:v>
      </x:c>
      <x:c r="B11" s="47" t="str">
        <x:v>hours</x:v>
      </x:c>
      <x:c r="C11" s="47" t="str">
        <x:v>Average</x:v>
      </x:c>
      <x:c r="D11" s="47" t="str">
        <x:v>Lower</x:v>
      </x:c>
      <x:c r="E11" s="103" t="n">
        <x:v>8.4</x:v>
      </x:c>
      <x:c r="F11" s="103" t="n">
        <x:v>8</x:v>
      </x:c>
      <x:c r="G11" s="103" t="n">
        <x:v>7.6</x:v>
      </x:c>
      <x:c r="H11" s="103" t="n">
        <x:v>7.2</x:v>
      </x:c>
      <x:c r="I11" s="103" t="n">
        <x:v>6.8</x:v>
      </x:c>
      <x:c r="J11" s="103" t="n">
        <x:v>6.5</x:v>
      </x:c>
      <x:c r="K11" s="103" t="n">
        <x:v>6.3</x:v>
      </x:c>
      <x:c r="L11" s="103" t="n">
        <x:v>6</x:v>
      </x:c>
      <x:c r="M11" s="103" t="n">
        <x:v>5.8</x:v>
      </x:c>
      <x:c r="N11" s="103" t="n">
        <x:v>9.5</x:v>
      </x:c>
      <x:c r="O11" s="103" t="n">
        <x:v>7</x:v>
      </x:c>
      <x:c r="P11" s="107" t="n">
        <x:v>5.9</x:v>
      </x:c>
    </x:row>
    <x:row r="12">
      <x:c r="A12" s="46" t="str">
        <x:v>Notification Delivery Rate</x:v>
      </x:c>
      <x:c r="B12" s="47" t="str">
        <x:v>%</x:v>
      </x:c>
      <x:c r="C12" s="47" t="str">
        <x:v>Average</x:v>
      </x:c>
      <x:c r="D12" s="47" t="str">
        <x:v>Higher</x:v>
      </x:c>
      <x:c r="E12" s="105" t="n">
        <x:v>0.93</x:v>
      </x:c>
      <x:c r="F12" s="105" t="n">
        <x:v>0.94</x:v>
      </x:c>
      <x:c r="G12" s="105" t="n">
        <x:v>0.94</x:v>
      </x:c>
      <x:c r="H12" s="105" t="n">
        <x:v>0.95</x:v>
      </x:c>
      <x:c r="I12" s="105" t="n">
        <x:v>0.95</x:v>
      </x:c>
      <x:c r="J12" s="105" t="n">
        <x:v>0.96</x:v>
      </x:c>
      <x:c r="K12" s="105" t="n">
        <x:v>0.96</x:v>
      </x:c>
      <x:c r="L12" s="105" t="n">
        <x:v>0.97</x:v>
      </x:c>
      <x:c r="M12" s="105" t="n">
        <x:v>0.97</x:v>
      </x:c>
      <x:c r="N12" s="105" t="n">
        <x:v>0.86</x:v>
      </x:c>
      <x:c r="O12" s="105" t="n">
        <x:v>0.92</x:v>
      </x:c>
      <x:c r="P12" s="108" t="n">
        <x:v>0.96</x:v>
      </x:c>
    </x:row>
    <x:row r="13">
      <x:c r="A13" s="46" t="str">
        <x:v>Admin CSAT</x:v>
      </x:c>
      <x:c r="B13" s="47" t="str">
        <x:v>score / 5</x:v>
      </x:c>
      <x:c r="C13" s="47" t="str">
        <x:v>Average</x:v>
      </x:c>
      <x:c r="D13" s="47" t="str">
        <x:v>Higher</x:v>
      </x:c>
      <x:c r="E13" s="103" t="n">
        <x:v>4</x:v>
      </x:c>
      <x:c r="F13" s="103" t="n">
        <x:v>4.1</x:v>
      </x:c>
      <x:c r="G13" s="103" t="n">
        <x:v>4</x:v>
      </x:c>
      <x:c r="H13" s="103" t="n">
        <x:v>4.1</x:v>
      </x:c>
      <x:c r="I13" s="103" t="n">
        <x:v>4.2</x:v>
      </x:c>
      <x:c r="J13" s="103" t="n">
        <x:v>4.2</x:v>
      </x:c>
      <x:c r="K13" s="103" t="n">
        <x:v>4.3</x:v>
      </x:c>
      <x:c r="L13" s="103" t="n">
        <x:v>4.3</x:v>
      </x:c>
      <x:c r="M13" s="103" t="n">
        <x:v>4.4</x:v>
      </x:c>
      <x:c r="N13" s="103" t="n">
        <x:v>4.1</x:v>
      </x:c>
      <x:c r="O13" s="103" t="n">
        <x:v>4.3</x:v>
      </x:c>
      <x:c r="P13" s="107" t="n">
        <x:v>4.5</x:v>
      </x:c>
    </x:row>
    <x:row r="14">
      <x:c r="A14" s="49" t="str">
        <x:v>Pilot Incidents</x:v>
      </x:c>
      <x:c r="B14" s="50" t="str">
        <x:v>count</x:v>
      </x:c>
      <x:c r="C14" s="50" t="str">
        <x:v>Sum</x:v>
      </x:c>
      <x:c r="D14" s="50" t="str">
        <x:v>Lower</x:v>
      </x:c>
      <x:c r="E14" s="109" t="n">
        <x:v>5</x:v>
      </x:c>
      <x:c r="F14" s="109" t="n">
        <x:v>4</x:v>
      </x:c>
      <x:c r="G14" s="109" t="n">
        <x:v>4</x:v>
      </x:c>
      <x:c r="H14" s="109" t="n">
        <x:v>4</x:v>
      </x:c>
      <x:c r="I14" s="109" t="n">
        <x:v>3</x:v>
      </x:c>
      <x:c r="J14" s="109" t="n">
        <x:v>3</x:v>
      </x:c>
      <x:c r="K14" s="109" t="n">
        <x:v>3</x:v>
      </x:c>
      <x:c r="L14" s="109" t="n">
        <x:v>2</x:v>
      </x:c>
      <x:c r="M14" s="109" t="n">
        <x:v>2</x:v>
      </x:c>
      <x:c r="N14" s="109" t="n">
        <x:v>7</x:v>
      </x:c>
      <x:c r="O14" s="109" t="n">
        <x:v>4</x:v>
      </x:c>
      <x:c r="P14" s="110" t="n">
        <x:v>2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842a7943587433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Exercise Task 1 - Team Challenge Scenario Model</x:v>
      </x:c>
      <x:c r="B1" s="4"/>
      <x:c r="C1" s="4"/>
      <x:c r="D1" s="4"/>
      <x:c r="E1" s="4"/>
      <x:c r="F1" s="4"/>
    </x:row>
    <x:row r="2" ht="34" customHeight="1">
      <x:c r="A2" s="10" t="str">
        <x:v>Use Copilot to calculate scenario outputs and build sensitivity tables. This is a different pilot from the worked example.</x:v>
      </x:c>
      <x:c r="B2" s="10"/>
      <x:c r="C2" s="10"/>
      <x:c r="D2" s="10"/>
      <x:c r="E2" s="10"/>
      <x:c r="F2" s="10"/>
    </x:row>
    <x:row r="4">
      <x:c r="A4" s="24" t="str">
        <x:v>Assumption</x:v>
      </x:c>
      <x:c r="B4" s="25" t="str">
        <x:v>Value</x:v>
      </x:c>
      <x:c r="C4" s="26" t="str">
        <x:v>Unit</x:v>
      </x:c>
    </x:row>
    <x:row r="5">
      <x:c r="A5" s="46" t="str">
        <x:v>Eligible Employees</x:v>
      </x:c>
      <x:c r="B5" s="47" t="n">
        <x:v>1200</x:v>
      </x:c>
      <x:c r="C5" s="48" t="str">
        <x:v>employees</x:v>
      </x:c>
    </x:row>
    <x:row r="6">
      <x:c r="A6" s="46" t="str">
        <x:v>Base Opt-in Rate</x:v>
      </x:c>
      <x:c r="B6" s="79" t="n">
        <x:v>0.36</x:v>
      </x:c>
      <x:c r="C6" s="48" t="str">
        <x:v>%</x:v>
      </x:c>
    </x:row>
    <x:row r="7">
      <x:c r="A7" s="46" t="str">
        <x:v>Base Week 3 Retention</x:v>
      </x:c>
      <x:c r="B7" s="79" t="n">
        <x:v>0.52</x:v>
      </x:c>
      <x:c r="C7" s="48" t="str">
        <x:v>%</x:v>
      </x:c>
    </x:row>
    <x:row r="8">
      <x:c r="A8" s="46" t="str">
        <x:v>Week 6 Continuation vs Week 3</x:v>
      </x:c>
      <x:c r="B8" s="79" t="n">
        <x:v>0.72</x:v>
      </x:c>
      <x:c r="C8" s="48" t="str">
        <x:v>%</x:v>
      </x:c>
    </x:row>
    <x:row r="9">
      <x:c r="A9" s="46" t="str">
        <x:v>Target Opt-in Rate</x:v>
      </x:c>
      <x:c r="B9" s="79" t="n">
        <x:v>0.35</x:v>
      </x:c>
      <x:c r="C9" s="48" t="str">
        <x:v>%</x:v>
      </x:c>
    </x:row>
    <x:row r="10">
      <x:c r="A10" s="49" t="str">
        <x:v>Target Week 3 Retention</x:v>
      </x:c>
      <x:c r="B10" s="82" t="n">
        <x:v>0.5</x:v>
      </x:c>
      <x:c r="C10" s="53" t="str">
        <x:v>%</x:v>
      </x:c>
    </x:row>
    <x:row r="13">
      <x:c r="A13" s="88" t="str">
        <x:v>Sensitivity workspace - Week 3 Active Participants</x:v>
      </x:c>
      <x:c r="B13" s="88" t="str"/>
      <x:c r="C13" s="88" t="str"/>
      <x:c r="D13" s="88" t="str"/>
      <x:c r="E13" s="88" t="str"/>
      <x:c r="F13" s="88" t="str"/>
    </x:row>
    <x:row r="14">
      <x:c r="A14" s="24" t="str">
        <x:v>Opt-in ↓ / Week 3 retention →</x:v>
      </x:c>
      <x:c r="B14" s="91" t="n">
        <x:v>0.45</x:v>
      </x:c>
      <x:c r="C14" s="91" t="n">
        <x:v>0.5</x:v>
      </x:c>
      <x:c r="D14" s="91" t="n">
        <x:v>0.55</x:v>
      </x:c>
      <x:c r="E14" s="91" t="n">
        <x:v>0.6</x:v>
      </x:c>
      <x:c r="F14" s="92" t="n">
        <x:v>0.65</x:v>
      </x:c>
    </x:row>
    <x:row r="15">
      <x:c r="A15" s="95" t="n">
        <x:v>0.3</x:v>
      </x:c>
      <x:c r="B15" s="47"/>
      <x:c r="C15" s="47"/>
      <x:c r="D15" s="47"/>
      <x:c r="E15" s="47"/>
      <x:c r="F15" s="48"/>
    </x:row>
    <x:row r="16">
      <x:c r="A16" s="95" t="n">
        <x:v>0.35</x:v>
      </x:c>
      <x:c r="B16" s="47"/>
      <x:c r="C16" s="47"/>
      <x:c r="D16" s="47"/>
      <x:c r="E16" s="47"/>
      <x:c r="F16" s="48"/>
    </x:row>
    <x:row r="17">
      <x:c r="A17" s="95" t="n">
        <x:v>0.4</x:v>
      </x:c>
      <x:c r="B17" s="47"/>
      <x:c r="C17" s="47"/>
      <x:c r="D17" s="47"/>
      <x:c r="E17" s="47"/>
      <x:c r="F17" s="48"/>
    </x:row>
    <x:row r="18">
      <x:c r="A18" s="95" t="n">
        <x:v>0.45</x:v>
      </x:c>
      <x:c r="B18" s="47"/>
      <x:c r="C18" s="47"/>
      <x:c r="D18" s="47"/>
      <x:c r="E18" s="47"/>
      <x:c r="F18" s="48"/>
    </x:row>
    <x:row r="19">
      <x:c r="A19" s="96" t="n">
        <x:v>0.5</x:v>
      </x:c>
      <x:c r="B19" s="50"/>
      <x:c r="C19" s="50"/>
      <x:c r="D19" s="50"/>
      <x:c r="E19" s="50"/>
      <x:c r="F19" s="53"/>
    </x:row>
    <x:row r="22">
      <x:c r="A22" s="88" t="str">
        <x:v>Sensitivity workspace - Week 6 Completions</x:v>
      </x:c>
      <x:c r="B22" s="88" t="str"/>
      <x:c r="C22" s="88" t="str"/>
      <x:c r="D22" s="88" t="str"/>
      <x:c r="E22" s="88" t="str"/>
      <x:c r="F22" s="88" t="str"/>
    </x:row>
    <x:row r="23">
      <x:c r="A23" s="24" t="str">
        <x:v>Opt-in ↓ / Week 3 retention →</x:v>
      </x:c>
      <x:c r="B23" s="91" t="n">
        <x:v>0.45</x:v>
      </x:c>
      <x:c r="C23" s="91" t="n">
        <x:v>0.5</x:v>
      </x:c>
      <x:c r="D23" s="91" t="n">
        <x:v>0.55</x:v>
      </x:c>
      <x:c r="E23" s="91" t="n">
        <x:v>0.6</x:v>
      </x:c>
      <x:c r="F23" s="92" t="n">
        <x:v>0.65</x:v>
      </x:c>
    </x:row>
    <x:row r="24">
      <x:c r="A24" s="95" t="n">
        <x:v>0.3</x:v>
      </x:c>
      <x:c r="B24" s="47"/>
      <x:c r="C24" s="47"/>
      <x:c r="D24" s="47"/>
      <x:c r="E24" s="47"/>
      <x:c r="F24" s="48"/>
    </x:row>
    <x:row r="25">
      <x:c r="A25" s="95" t="n">
        <x:v>0.35</x:v>
      </x:c>
      <x:c r="B25" s="47"/>
      <x:c r="C25" s="47"/>
      <x:c r="D25" s="47"/>
      <x:c r="E25" s="47"/>
      <x:c r="F25" s="48"/>
    </x:row>
    <x:row r="26">
      <x:c r="A26" s="95" t="n">
        <x:v>0.4</x:v>
      </x:c>
      <x:c r="B26" s="47"/>
      <x:c r="C26" s="47"/>
      <x:c r="D26" s="47"/>
      <x:c r="E26" s="47"/>
      <x:c r="F26" s="48"/>
    </x:row>
    <x:row r="27">
      <x:c r="A27" s="95" t="n">
        <x:v>0.45</x:v>
      </x:c>
      <x:c r="B27" s="47"/>
      <x:c r="C27" s="47"/>
      <x:c r="D27" s="47"/>
      <x:c r="E27" s="47"/>
      <x:c r="F27" s="48"/>
    </x:row>
    <x:row r="28">
      <x:c r="A28" s="96" t="n">
        <x:v>0.5</x:v>
      </x:c>
      <x:c r="B28" s="50"/>
      <x:c r="C28" s="50"/>
      <x:c r="D28" s="50"/>
      <x:c r="E28" s="50"/>
      <x:c r="F28" s="53"/>
    </x:row>
  </x:sheetData>
  <x:mergeCells>
    <x:mergeCell ref="A1:F1"/>
    <x:mergeCell ref="A2:F2"/>
    <x:mergeCell ref="A13:F13"/>
    <x:mergeCell ref="A22:F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12" hidden="0" customWidth="1"/>
    <x:col min="5" max="5" width="20" hidden="0" customWidth="1"/>
    <x:col min="6" max="6" width="58" hidden="0" customWidth="1"/>
  </x:cols>
  <x:sheetData>
    <x:row r="1" ht="28" customHeight="1">
      <x:c r="A1" s="4" t="str">
        <x:v>Exercise Task 2 - Pilot Target vs Actual</x:v>
      </x:c>
      <x:c r="B1" s="4"/>
      <x:c r="C1" s="4"/>
      <x:c r="D1" s="4"/>
      <x:c r="E1" s="4"/>
      <x:c r="F1" s="4"/>
    </x:row>
    <x:row r="2" ht="34" customHeight="1">
      <x:c r="A2" s="10" t="str">
        <x:v>Use Copilot to calculate variance, identify the biggest unfavorable gaps and decide whether the issue looks temporary or persistent based on the notes.</x:v>
      </x:c>
      <x:c r="B2" s="10"/>
      <x:c r="C2" s="10"/>
      <x:c r="D2" s="10"/>
      <x:c r="E2" s="10"/>
      <x:c r="F2" s="10"/>
    </x:row>
    <x:row r="4">
      <x:c r="A4" s="24" t="str">
        <x:v>KPI</x:v>
      </x:c>
      <x:c r="B4" s="25" t="str">
        <x:v>Unit</x:v>
      </x:c>
      <x:c r="C4" s="25" t="str">
        <x:v>Target</x:v>
      </x:c>
      <x:c r="D4" s="25" t="str">
        <x:v>Actual</x:v>
      </x:c>
      <x:c r="E4" s="25" t="str">
        <x:v>Favorable Direction</x:v>
      </x:c>
      <x:c r="F4" s="26" t="str">
        <x:v>Context / Notes</x:v>
      </x:c>
    </x:row>
    <x:row r="5">
      <x:c r="A5" s="46" t="str">
        <x:v>Opt-in Rate</x:v>
      </x:c>
      <x:c r="B5" s="47" t="str">
        <x:v>%</x:v>
      </x:c>
      <x:c r="C5" s="105" t="n">
        <x:v>0.35</x:v>
      </x:c>
      <x:c r="D5" s="105" t="n">
        <x:v>0.38</x:v>
      </x:c>
      <x:c r="E5" s="47" t="str">
        <x:v>Higher</x:v>
      </x:c>
      <x:c r="F5" s="48" t="str">
        <x:v>Slightly above target after launch communications.</x:v>
      </x:c>
    </x:row>
    <x:row r="6">
      <x:c r="A6" s="46" t="str">
        <x:v>Week 3 Retention</x:v>
      </x:c>
      <x:c r="B6" s="47" t="str">
        <x:v>%</x:v>
      </x:c>
      <x:c r="C6" s="105" t="n">
        <x:v>0.5</x:v>
      </x:c>
      <x:c r="D6" s="105" t="n">
        <x:v>0.47</x:v>
      </x:c>
      <x:c r="E6" s="47" t="str">
        <x:v>Higher</x:v>
      </x:c>
      <x:c r="F6" s="48" t="str">
        <x:v>Drop concentrated in Android users during reminder issue.</x:v>
      </x:c>
    </x:row>
    <x:row r="7">
      <x:c r="A7" s="46" t="str">
        <x:v>Completion Rate</x:v>
      </x:c>
      <x:c r="B7" s="47" t="str">
        <x:v>%</x:v>
      </x:c>
      <x:c r="C7" s="105" t="n">
        <x:v>0.4</x:v>
      </x:c>
      <x:c r="D7" s="105" t="n">
        <x:v>0.39</x:v>
      </x:c>
      <x:c r="E7" s="47" t="str">
        <x:v>Higher</x:v>
      </x:c>
      <x:c r="F7" s="48" t="str">
        <x:v>Slightly below target; may recover as reminder fix rolls out.</x:v>
      </x:c>
    </x:row>
    <x:row r="8">
      <x:c r="A8" s="46" t="str">
        <x:v>Avg Sessions / Active User</x:v>
      </x:c>
      <x:c r="B8" s="47" t="str">
        <x:v>sessions</x:v>
      </x:c>
      <x:c r="C8" s="103" t="n">
        <x:v>2.3</x:v>
      </x:c>
      <x:c r="D8" s="103" t="n">
        <x:v>2.5</x:v>
      </x:c>
      <x:c r="E8" s="47" t="str">
        <x:v>Higher</x:v>
      </x:c>
      <x:c r="F8" s="48" t="str">
        <x:v>Healthy engagement among active users.</x:v>
      </x:c>
    </x:row>
    <x:row r="9">
      <x:c r="A9" s="46" t="str">
        <x:v>Support Tickets / 100 Users</x:v>
      </x:c>
      <x:c r="B9" s="47" t="str">
        <x:v>tickets</x:v>
      </x:c>
      <x:c r="C9" s="103" t="n">
        <x:v>3</x:v>
      </x:c>
      <x:c r="D9" s="103" t="n">
        <x:v>4.4</x:v>
      </x:c>
      <x:c r="E9" s="47" t="str">
        <x:v>Lower</x:v>
      </x:c>
      <x:c r="F9" s="48" t="str">
        <x:v>Higher ticket volume during first two weeks.</x:v>
      </x:c>
    </x:row>
    <x:row r="10">
      <x:c r="A10" s="46" t="str">
        <x:v>Avg Resolution Hours</x:v>
      </x:c>
      <x:c r="B10" s="47" t="str">
        <x:v>hours</x:v>
      </x:c>
      <x:c r="C10" s="103" t="n">
        <x:v>6</x:v>
      </x:c>
      <x:c r="D10" s="103" t="n">
        <x:v>7.8</x:v>
      </x:c>
      <x:c r="E10" s="47" t="str">
        <x:v>Lower</x:v>
      </x:c>
      <x:c r="F10" s="48" t="str">
        <x:v>Support queue increased during Android reminder incident.</x:v>
      </x:c>
    </x:row>
    <x:row r="11">
      <x:c r="A11" s="46" t="str">
        <x:v>Notification Delivery Rate</x:v>
      </x:c>
      <x:c r="B11" s="47" t="str">
        <x:v>%</x:v>
      </x:c>
      <x:c r="C11" s="105" t="n">
        <x:v>0.95</x:v>
      </x:c>
      <x:c r="D11" s="105" t="n">
        <x:v>0.88</x:v>
      </x:c>
      <x:c r="E11" s="47" t="str">
        <x:v>Higher</x:v>
      </x:c>
      <x:c r="F11" s="48" t="str">
        <x:v>Android build 10.2.2 delayed challenge reminders; fix 10.2.3 targeted next week.</x:v>
      </x:c>
    </x:row>
    <x:row r="12">
      <x:c r="A12" s="49" t="str">
        <x:v>Admin CSAT</x:v>
      </x:c>
      <x:c r="B12" s="50" t="str">
        <x:v>score / 5</x:v>
      </x:c>
      <x:c r="C12" s="109" t="n">
        <x:v>4.2</x:v>
      </x:c>
      <x:c r="D12" s="109" t="n">
        <x:v>4.3</x:v>
      </x:c>
      <x:c r="E12" s="50" t="str">
        <x:v>Higher</x:v>
      </x:c>
      <x:c r="F12" s="53" t="str">
        <x:v>Admins positive about setup and reporting.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52c418cd45c4e24"/>
  </x:tableParts>
</x:worksheet>
</file>